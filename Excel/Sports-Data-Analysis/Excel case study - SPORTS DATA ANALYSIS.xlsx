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workbookProtection lockStructure="1"/>
  <bookViews>
    <workbookView xWindow="-120" yWindow="-120" windowWidth="20736" windowHeight="11160" tabRatio="758" activeTab="4"/>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definedNames>
    <definedName name="_xlnm.Extract" localSheetId="3">ANALYSIS!$G$4</definedName>
    <definedName name="Slicer_SPORT_LOCATION">#N/A</definedName>
  </definedNames>
  <calcPr calcId="144525"/>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29" i="1" l="1"/>
  <c r="Q2" i="1" l="1"/>
  <c r="K2" i="1"/>
  <c r="K3" i="1"/>
  <c r="K4" i="1"/>
  <c r="K5" i="1"/>
  <c r="K6" i="1"/>
  <c r="K7" i="1"/>
  <c r="K8" i="1"/>
  <c r="K9" i="1"/>
  <c r="K10" i="1"/>
  <c r="K11" i="1"/>
  <c r="K12" i="1"/>
  <c r="K14" i="1"/>
  <c r="K15" i="1"/>
  <c r="K16" i="1"/>
  <c r="K17" i="1"/>
  <c r="K18" i="1"/>
  <c r="K19" i="1"/>
  <c r="K20" i="1"/>
  <c r="K21" i="1"/>
  <c r="K22" i="1"/>
  <c r="K23" i="1"/>
  <c r="K24" i="1"/>
  <c r="K25" i="1"/>
  <c r="K26" i="1"/>
  <c r="K27" i="1"/>
  <c r="K28" i="1"/>
  <c r="K30" i="1"/>
  <c r="K31" i="1"/>
  <c r="K32" i="1"/>
  <c r="K33" i="1"/>
  <c r="K34" i="1"/>
  <c r="K35" i="1"/>
  <c r="K36" i="1"/>
  <c r="K37" i="1"/>
  <c r="K38" i="1"/>
  <c r="K39" i="1"/>
  <c r="K40" i="1"/>
  <c r="K41" i="1"/>
  <c r="K42" i="1"/>
  <c r="K43" i="1"/>
  <c r="K44" i="1"/>
  <c r="K45" i="1"/>
  <c r="K46" i="1"/>
  <c r="K47" i="1"/>
  <c r="K48" i="1"/>
  <c r="K49" i="1"/>
  <c r="K50" i="1"/>
  <c r="K51" i="1"/>
  <c r="K13"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2" i="1"/>
  <c r="M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I6" i="7" l="1"/>
  <c r="H10" i="7"/>
  <c r="I13" i="7"/>
  <c r="H9" i="7"/>
  <c r="I12" i="7"/>
  <c r="H5" i="7"/>
  <c r="H8" i="7"/>
  <c r="I11" i="7"/>
  <c r="H15" i="7"/>
  <c r="H7" i="7"/>
  <c r="I10" i="7"/>
  <c r="H14" i="7"/>
  <c r="H6" i="7"/>
  <c r="I9" i="7"/>
  <c r="H13" i="7"/>
  <c r="I5" i="7"/>
  <c r="I8" i="7"/>
  <c r="H12" i="7"/>
  <c r="I15" i="7"/>
  <c r="I7" i="7"/>
  <c r="H11" i="7"/>
  <c r="I14" i="7"/>
</calcChain>
</file>

<file path=xl/sharedStrings.xml><?xml version="1.0" encoding="utf-8"?>
<sst xmlns="http://schemas.openxmlformats.org/spreadsheetml/2006/main" count="832" uniqueCount="338">
  <si>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</si>
  <si>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</si>
  <si>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</si>
  <si>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</si>
  <si>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</si>
  <si>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</si>
  <si>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</si>
  <si>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</si>
  <si>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</si>
  <si>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</si>
  <si>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</si>
  <si>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</si>
  <si>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</si>
  <si>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</si>
  <si>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</si>
  <si>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</si>
  <si>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</si>
  <si>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</si>
  <si>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</si>
  <si>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</si>
  <si>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</si>
  <si>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</si>
  <si>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</si>
  <si>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</si>
  <si>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</si>
  <si>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</si>
  <si>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</si>
  <si>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</si>
  <si>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</si>
  <si>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</si>
  <si>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</si>
  <si>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</si>
  <si>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</si>
  <si>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</si>
  <si>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</si>
  <si>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</si>
  <si>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</si>
  <si>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</si>
  <si>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</si>
  <si>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</si>
  <si>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</si>
  <si>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</si>
  <si>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</si>
  <si>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</si>
  <si>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</si>
  <si>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</si>
  <si>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</si>
  <si>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</si>
  <si>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</si>
  <si>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</si>
  <si>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</si>
  <si>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</si>
  <si>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</si>
  <si>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</si>
  <si>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</si>
  <si>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</si>
  <si>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</si>
  <si>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</si>
  <si>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</si>
  <si>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</si>
  <si>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</si>
  <si>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</si>
  <si>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</si>
  <si>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</si>
  <si>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</si>
  <si>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</si>
  <si>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</si>
  <si>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</si>
  <si>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</si>
  <si>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</si>
  <si>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</si>
  <si>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</si>
  <si>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</si>
  <si>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</si>
  <si>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</si>
  <si>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</si>
  <si>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</si>
  <si>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</si>
  <si>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</si>
  <si>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</si>
  <si>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</si>
  <si>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</si>
  <si>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</si>
  <si>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</si>
  <si>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</si>
  <si>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</si>
  <si>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</si>
  <si>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</si>
  <si>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</si>
  <si>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</si>
  <si>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</si>
  <si>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</si>
  <si>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</si>
  <si>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</si>
  <si>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</si>
  <si>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</si>
  <si>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</si>
  <si>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</si>
  <si>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</si>
  <si>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</si>
  <si>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</si>
  <si>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</si>
  <si>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</si>
  <si>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</si>
  <si>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</si>
  <si>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</si>
  <si>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</si>
  <si>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</si>
  <si>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</si>
  <si>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</si>
  <si>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</si>
  <si>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</si>
  <si>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</si>
  <si>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</si>
  <si>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</si>
  <si>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</si>
  <si>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</si>
  <si>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</si>
  <si>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</si>
  <si>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</si>
  <si>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</si>
  <si>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</si>
  <si>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</si>
  <si>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</si>
  <si>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</si>
  <si>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</si>
  <si>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</si>
  <si>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</si>
  <si>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</si>
  <si>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</si>
  <si>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</si>
  <si>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</si>
  <si>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</si>
  <si>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</si>
  <si>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</si>
  <si>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</si>
  <si>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</si>
  <si>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</si>
  <si>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</si>
  <si>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</si>
  <si>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</si>
  <si>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</si>
  <si>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</si>
  <si>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</si>
  <si>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</si>
  <si>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</si>
  <si>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</si>
  <si>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</si>
  <si>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</si>
  <si>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</si>
  <si>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</si>
  <si>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</si>
  <si>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</si>
  <si>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</si>
  <si>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</si>
  <si>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</si>
  <si>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</si>
  <si>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</si>
  <si>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</si>
  <si>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</si>
  <si>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</si>
  <si>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</si>
  <si>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</si>
  <si>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</si>
  <si>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</si>
  <si>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</si>
  <si>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</si>
  <si>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</si>
  <si>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</si>
  <si>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</si>
  <si>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</si>
  <si>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</si>
  <si>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</si>
  <si>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</si>
  <si>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</si>
  <si>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</si>
  <si>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</si>
  <si>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</si>
  <si>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</si>
  <si>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</si>
  <si>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</si>
  <si>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</si>
  <si>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</si>
  <si>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</si>
  <si>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</si>
  <si>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</si>
  <si>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</si>
  <si>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</si>
  <si>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</si>
  <si>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</si>
  <si>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</si>
  <si>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</si>
  <si>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</si>
  <si>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</si>
  <si>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</si>
  <si>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</si>
  <si>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</si>
  <si>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</si>
  <si>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</si>
  <si>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</si>
  <si>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</si>
  <si>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</si>
  <si>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</si>
  <si>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</si>
  <si>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</si>
  <si>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</si>
  <si>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</si>
  <si>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</si>
  <si>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</si>
  <si>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</si>
  <si>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</si>
  <si>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</si>
  <si>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</si>
  <si>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</si>
  <si>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</si>
  <si>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</si>
  <si>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</si>
  <si>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</si>
  <si>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</si>
  <si>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</si>
  <si>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</si>
  <si>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</si>
  <si>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</si>
  <si>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</si>
  <si>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</si>
  <si>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</si>
  <si>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</si>
  <si>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</si>
  <si>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</si>
  <si>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</si>
  <si>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</si>
  <si>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</si>
  <si>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</si>
  <si>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</si>
  <si>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</si>
  <si>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</si>
  <si>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</si>
  <si>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</si>
  <si>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</si>
  <si>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</si>
  <si>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</si>
  <si>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</si>
  <si>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</si>
  <si>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</si>
  <si>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</si>
  <si>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</si>
  <si>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</si>
  <si>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</si>
  <si>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</si>
  <si>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</si>
  <si>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</si>
  <si>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</si>
  <si>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</si>
  <si>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</si>
  <si>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</si>
  <si>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</si>
  <si>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</si>
  <si>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</si>
  <si>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</si>
  <si>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</si>
  <si>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</si>
  <si>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</si>
  <si>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</si>
  <si>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</si>
  <si>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</si>
  <si>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</si>
  <si>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</si>
  <si>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</si>
  <si>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</si>
  <si>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</si>
  <si>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</si>
  <si>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</si>
  <si>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</si>
  <si>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</si>
  <si>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</si>
  <si>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</si>
  <si>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</si>
  <si>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</si>
  <si>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</si>
  <si>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</si>
  <si>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</si>
  <si>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</si>
  <si>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</si>
  <si>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Row Labels</t>
  </si>
  <si>
    <t>Column Labels</t>
  </si>
  <si>
    <t>Count of MEMBER ID</t>
  </si>
  <si>
    <t>MS. ANNIE  ABBOTT</t>
  </si>
  <si>
    <t>MS. AURELIE  LIESUCHKE</t>
  </si>
  <si>
    <t>DR. JAYDON  BORER</t>
  </si>
  <si>
    <t>MR. MORIAH   LYNCH</t>
  </si>
  <si>
    <t>MR. PIERCE  RAU</t>
  </si>
  <si>
    <t>MS. AMELIA  STEVENS</t>
  </si>
  <si>
    <t>PROF. MILENA  SCHOTIN</t>
  </si>
  <si>
    <t>HR. PIETRO  STOLZE</t>
  </si>
  <si>
    <t>DR. EARNESTINE  RAYNOR</t>
  </si>
  <si>
    <t>MR. JASON  GAYLORD</t>
  </si>
  <si>
    <t>MS. ISABEL  RUNOLFSDOTTIR</t>
  </si>
  <si>
    <t>HR. BARNEY  WESACK</t>
  </si>
  <si>
    <t>MME. PAULETTE  DURAND</t>
  </si>
  <si>
    <t>M. CLAUDE  TOUSSAINT</t>
  </si>
  <si>
    <t>M. BERNARD  HOARAU-GUYON</t>
  </si>
  <si>
    <t>SRA. AINHOA  GARZA</t>
  </si>
  <si>
    <t>MW. ELIZE  PRINS</t>
  </si>
  <si>
    <t>SR. ADRIANO PONTES SOBRINHO</t>
  </si>
  <si>
    <t>abbott.annie@xyz.org</t>
  </si>
  <si>
    <t>liesuchke.aurelie@xyz.org</t>
  </si>
  <si>
    <t>borer.jaydon@xyz.org</t>
  </si>
  <si>
    <t>lynch.moriah@xyz.org</t>
  </si>
  <si>
    <t>rau.pierce@xyz.org</t>
  </si>
  <si>
    <t>stevens.amelia@xyz.org</t>
  </si>
  <si>
    <t>schotin.milena@xyz.com</t>
  </si>
  <si>
    <t>stolze.pietro@xyz.com</t>
  </si>
  <si>
    <t>raynor.earnestine@xyz.org</t>
  </si>
  <si>
    <t>gaylord.jason@xyz.org</t>
  </si>
  <si>
    <t>runolfsdottir.isabel@xyz.org</t>
  </si>
  <si>
    <t>wesack.barney@xyz.com</t>
  </si>
  <si>
    <t>durand.paulette@xyz.com</t>
  </si>
  <si>
    <t>toussaint.claude@xyz.com</t>
  </si>
  <si>
    <t>hoarau-guyon.bernard@xyz.com</t>
  </si>
  <si>
    <t>garza.ainhoa@xyz.com</t>
  </si>
  <si>
    <t>prins.elize@xyz.com</t>
  </si>
  <si>
    <t>sobrinho.adriano@xyz.com</t>
  </si>
  <si>
    <t>1960</t>
  </si>
  <si>
    <t>1977</t>
  </si>
  <si>
    <t>1976</t>
  </si>
  <si>
    <t>1992</t>
  </si>
  <si>
    <t>1963</t>
  </si>
  <si>
    <t>1978</t>
  </si>
  <si>
    <t>1997</t>
  </si>
  <si>
    <t>1971</t>
  </si>
  <si>
    <t>1970</t>
  </si>
  <si>
    <t>1983</t>
  </si>
  <si>
    <t>1980</t>
  </si>
  <si>
    <t>1989</t>
  </si>
  <si>
    <t>1965</t>
  </si>
  <si>
    <t>1972</t>
  </si>
  <si>
    <t>1993</t>
  </si>
  <si>
    <t>1990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</si>
</sst>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
    <numFmt numFmtId="166" formatCode="[$-409]d\-mmm\-yyyy;@"/>
    <numFmt numFmtId="167" formatCode="0.#\ &quot;kg&quot;"/>
  </numFmts>
  <fonts count="13"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4" tint="0.79998168889431442"/>
        <bgColor theme="4" tint="0.79998168889431442"/>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bottom style="thin">
        <color theme="4" tint="0.39997558519241921"/>
      </bottom>
      <diagonal/>
    </border>
  </borders>
  <cellStyleXfs count="1">
    <xf numFmtId="0" fontId="0" fillId="0" borderId="0"/>
  </cellStyleXfs>
  <cellXfs count="52">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0" fillId="0" borderId="1" xfId="0"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applyAlignment="1"/>
    <xf numFmtId="0" fontId="6" fillId="0" borderId="11" xfId="0" applyFont="1" applyBorder="1"/>
    <xf numFmtId="0" fontId="6" fillId="0" borderId="6" xfId="0" applyFont="1" applyBorder="1"/>
    <xf numFmtId="0" fontId="7" fillId="0" borderId="12" xfId="0" applyFont="1" applyBorder="1" applyAlignment="1"/>
    <xf numFmtId="0" fontId="6" fillId="0" borderId="16" xfId="0" applyFont="1" applyFill="1" applyBorder="1"/>
    <xf numFmtId="0" fontId="6" fillId="0" borderId="17" xfId="0" applyFont="1" applyFill="1" applyBorder="1"/>
    <xf numFmtId="0" fontId="7" fillId="0" borderId="18" xfId="0" applyFont="1" applyBorder="1" applyAlignment="1"/>
    <xf numFmtId="0" fontId="7" fillId="0" borderId="6" xfId="0" applyFont="1" applyBorder="1" applyAlignment="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1" xfId="0" applyNumberFormat="1" applyBorder="1" applyAlignment="1">
      <alignment horizontal="righ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applyAlignment="1"/>
    <xf numFmtId="0" fontId="7" fillId="0" borderId="12" xfId="0" applyFont="1" applyBorder="1" applyAlignment="1">
      <alignment vertical="center" wrapText="1"/>
    </xf>
    <xf numFmtId="0" fontId="1" fillId="2" borderId="6" xfId="0" applyFont="1" applyFill="1" applyBorder="1" applyAlignment="1"/>
    <xf numFmtId="0" fontId="0" fillId="0" borderId="6" xfId="0" applyBorder="1" applyAlignment="1">
      <alignment horizontal="left"/>
    </xf>
    <xf numFmtId="0" fontId="0" fillId="0" borderId="6" xfId="0" applyBorder="1"/>
    <xf numFmtId="165" fontId="0" fillId="0" borderId="1" xfId="0" applyNumberFormat="1" applyBorder="1"/>
    <xf numFmtId="166" fontId="0" fillId="0" borderId="1" xfId="0" applyNumberFormat="1" applyBorder="1" applyAlignment="1">
      <alignment horizontal="right"/>
    </xf>
    <xf numFmtId="167" fontId="0" fillId="0" borderId="1" xfId="0" applyNumberFormat="1" applyBorder="1"/>
    <xf numFmtId="0" fontId="0" fillId="0" borderId="0" xfId="0" pivotButton="1"/>
    <xf numFmtId="0" fontId="12" fillId="7" borderId="22" xfId="0" applyFont="1" applyFill="1" applyBorder="1"/>
    <xf numFmtId="0" fontId="0" fillId="0" borderId="0" xfId="0" applyNumberFormat="1"/>
    <xf numFmtId="165" fontId="0" fillId="0" borderId="0" xfId="0" applyNumberFormat="1"/>
    <xf numFmtId="0" fontId="3" fillId="6" borderId="0" xfId="0" applyFont="1" applyFill="1" applyBorder="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8</xdr:col>
      <xdr:colOff>15240</xdr:colOff>
      <xdr:row>4</xdr:row>
      <xdr:rowOff>152400</xdr:rowOff>
    </xdr:to>
    <mc:AlternateContent xmlns:mc="http://schemas.openxmlformats.org/markup-compatibility/2006" xmlns:a14="http://schemas.microsoft.com/office/drawing/2010/main">
      <mc:Choice Requires="a14">
        <xdr:graphicFrame macro="">
          <xdr:nvGraphicFramePr>
            <xdr:cNvPr id="2" name="SPORT LOCATION"/>
            <xdr:cNvGraphicFramePr/>
          </xdr:nvGraphicFramePr>
          <xdr:xfrm>
            <a:off x="0" y="0"/>
            <a:ext cx="0" cy="0"/>
          </xdr:xfrm>
          <a:graphic>
            <a:graphicData uri="http://schemas.microsoft.com/office/drawing/2010/slicer">
              <sle:slicer xmlns:sle="http://schemas.microsoft.com/office/drawing/2010/slicer" name="SPORT LOCATION"/>
            </a:graphicData>
          </a:graphic>
        </xdr:graphicFrame>
      </mc:Choice>
      <mc:Fallback xmlns="">
        <xdr:sp macro="" textlink="">
          <xdr:nvSpPr>
            <xdr:cNvPr id="0" name=""/>
            <xdr:cNvSpPr>
              <a:spLocks noTextEdit="1"/>
            </xdr:cNvSpPr>
          </xdr:nvSpPr>
          <xdr:spPr>
            <a:xfrm>
              <a:off x="0" y="1"/>
              <a:ext cx="9913620"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89.685235185185" createdVersion="4" refreshedVersion="4" minRefreshableVersion="3" recordCount="50">
  <cacheSource type="worksheet">
    <worksheetSource ref="A1:S51" sheet="SPORTSMEN"/>
  </cacheSource>
  <cacheFields count="19">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ERREIRA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CANTU TERCERO"/>
        <s v="SR. HADALGO  POLANCO"/>
        <s v="SRA. LAURA  OLIVIERA"/>
        <s v="SRA. AINHOA  GARZA"/>
        <s v="SRA. ISABEL  BANDA"/>
        <s v="SRA. CAROLOTA  MATEOS"/>
        <s v="MW. ELIZE  PRINS"/>
        <s v="DHR. RYAN  PHAM"/>
        <s v="MW ELISE  ROTTEVEEL"/>
        <s v="FRU. MIRJAM  SODERBERG"/>
        <s v="H. BERNDT  PALSSON"/>
        <s v="SR. ADRIANO PONTES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0">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base="6">
        <rangePr groupBy="years" startDate="1955-07-30T00:00:00" endDate="1999-08-29T00:00:00"/>
        <groupItems count="47">
          <s v="&lt;7/30/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8/29/1999"/>
        </groupItems>
      </fieldGroup>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xyz.org"/>
        <s v="eichmann.amiya@xyz.org"/>
        <s v="rau.pierce@xyz.org"/>
        <s v="stevens.amelia@xyz.org"/>
        <s v="simpson.toby@xyz.org"/>
        <s v="murphy.ethan@xyz.org"/>
        <s v="wood.ashley@xyz.org"/>
        <s v="scott.megan@xyz.org"/>
        <s v="weinhae.helmut@xyz.com"/>
        <s v="schotin.milena@xyz.com"/>
        <s v="birnbaum.lothar@xyz.com"/>
        <s v="stolze.pietro@xyz.com"/>
        <s v="tlustek.richard@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7">
      <sharedItems containsSemiMixedTypes="0" containsString="0" containsNumber="1" minValue="45.9" maxValue="105.9"/>
    </cacheField>
    <cacheField name="EYECOLOR" numFmtId="0">
      <sharedItems/>
    </cacheField>
    <cacheField name="BLOODTYPE" numFmtId="0">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0">
      <sharedItems containsString="0" containsBlank="1" containsNumber="1" containsInteger="1" minValue="10241" maxValue="11740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x v="0"/>
    <s v="Ms."/>
    <s v="Annie"/>
    <m/>
    <s v="Abbott"/>
    <x v="0"/>
    <s v="Libra"/>
    <x v="0"/>
    <s v="US"/>
    <x v="0"/>
    <x v="0"/>
    <x v="0"/>
    <n v="94"/>
    <s v="Green"/>
    <s v="A−"/>
    <x v="0"/>
    <x v="0"/>
    <n v="80727"/>
  </r>
  <r>
    <x v="1"/>
    <x v="1"/>
    <s v="Ms."/>
    <s v="Aurelie"/>
    <m/>
    <s v="Liesuchke"/>
    <x v="1"/>
    <s v="Aquarius"/>
    <x v="0"/>
    <s v="US"/>
    <x v="0"/>
    <x v="0"/>
    <x v="1"/>
    <n v="84.2"/>
    <s v="Brown"/>
    <s v="O−"/>
    <x v="0"/>
    <x v="1"/>
    <n v="87471"/>
  </r>
  <r>
    <x v="2"/>
    <x v="2"/>
    <s v="Sr."/>
    <s v="Tomas"/>
    <s v="Ferreira"/>
    <s v="Filho"/>
    <x v="2"/>
    <s v="Cancer"/>
    <x v="1"/>
    <s v="BR"/>
    <x v="1"/>
    <x v="1"/>
    <x v="2"/>
    <n v="52.9"/>
    <s v="Amber"/>
    <s v="A−"/>
    <x v="1"/>
    <x v="2"/>
    <n v="64724"/>
  </r>
  <r>
    <x v="3"/>
    <x v="3"/>
    <s v="Ms."/>
    <s v="Darby"/>
    <m/>
    <s v="Cruickshank"/>
    <x v="3"/>
    <s v="Taurus"/>
    <x v="0"/>
    <s v="US"/>
    <x v="0"/>
    <x v="0"/>
    <x v="3"/>
    <n v="48.9"/>
    <s v="Green"/>
    <s v="O−"/>
    <x v="1"/>
    <x v="3"/>
    <n v="110823"/>
  </r>
  <r>
    <x v="4"/>
    <x v="4"/>
    <s v="Dr."/>
    <s v="Jaydon"/>
    <m/>
    <s v="Borer"/>
    <x v="4"/>
    <s v="Taurus"/>
    <x v="1"/>
    <s v="US"/>
    <x v="0"/>
    <x v="0"/>
    <x v="4"/>
    <n v="84.8"/>
    <s v="Blue"/>
    <s v="B−"/>
    <x v="0"/>
    <x v="4"/>
    <n v="56916"/>
  </r>
  <r>
    <x v="5"/>
    <x v="5"/>
    <s v="Mr."/>
    <s v="Moriah "/>
    <m/>
    <s v="Lynch"/>
    <x v="5"/>
    <s v="Sagittarius"/>
    <x v="1"/>
    <s v="US"/>
    <x v="0"/>
    <x v="0"/>
    <x v="5"/>
    <n v="83.2"/>
    <s v="Blue"/>
    <s v="O−"/>
    <x v="0"/>
    <x v="5"/>
    <n v="51133"/>
  </r>
  <r>
    <x v="6"/>
    <x v="6"/>
    <s v="Ms."/>
    <s v="Amiya"/>
    <m/>
    <s v="Eichmann"/>
    <x v="6"/>
    <s v="Leo"/>
    <x v="0"/>
    <s v="US"/>
    <x v="0"/>
    <x v="0"/>
    <x v="6"/>
    <n v="61.1"/>
    <s v="Blue"/>
    <s v="B−"/>
    <x v="1"/>
    <x v="6"/>
    <n v="65465"/>
  </r>
  <r>
    <x v="7"/>
    <x v="7"/>
    <s v="Mr."/>
    <s v="Pierce"/>
    <m/>
    <s v="Rau"/>
    <x v="7"/>
    <s v="Taurus"/>
    <x v="1"/>
    <s v="US"/>
    <x v="0"/>
    <x v="0"/>
    <x v="7"/>
    <n v="105.7"/>
    <s v="Amber"/>
    <s v="A+"/>
    <x v="0"/>
    <x v="7"/>
    <n v="109885"/>
  </r>
  <r>
    <x v="8"/>
    <x v="8"/>
    <s v="Ms."/>
    <s v="Amelia"/>
    <m/>
    <s v="Stevens"/>
    <x v="8"/>
    <s v="Aquarius"/>
    <x v="0"/>
    <s v="GB"/>
    <x v="2"/>
    <x v="0"/>
    <x v="8"/>
    <n v="65.3"/>
    <s v="Blue"/>
    <s v="A+"/>
    <x v="0"/>
    <x v="8"/>
    <n v="60061"/>
  </r>
  <r>
    <x v="9"/>
    <x v="9"/>
    <s v="Mr."/>
    <s v="Toby"/>
    <m/>
    <s v="Simpson"/>
    <x v="9"/>
    <s v="Sagittarius"/>
    <x v="1"/>
    <s v="GB"/>
    <x v="2"/>
    <x v="0"/>
    <x v="9"/>
    <n v="62.9"/>
    <s v="Amber"/>
    <s v="O+"/>
    <x v="1"/>
    <x v="6"/>
    <n v="32758"/>
  </r>
  <r>
    <x v="10"/>
    <x v="10"/>
    <s v="Sir"/>
    <s v="Ethan"/>
    <m/>
    <s v="Murphy"/>
    <x v="10"/>
    <s v="Scorpio"/>
    <x v="1"/>
    <s v="GB"/>
    <x v="2"/>
    <x v="0"/>
    <x v="10"/>
    <n v="104.3"/>
    <s v="Brown"/>
    <s v="O+"/>
    <x v="1"/>
    <x v="9"/>
    <n v="99613"/>
  </r>
  <r>
    <x v="11"/>
    <x v="11"/>
    <s v="Mrs."/>
    <s v="Ashley"/>
    <m/>
    <s v="Wood"/>
    <x v="11"/>
    <s v="Libra"/>
    <x v="0"/>
    <s v="GB"/>
    <x v="2"/>
    <x v="0"/>
    <x v="11"/>
    <n v="100.7"/>
    <s v="Brown"/>
    <s v="O+"/>
    <x v="1"/>
    <x v="10"/>
    <n v="56595"/>
  </r>
  <r>
    <x v="12"/>
    <x v="12"/>
    <s v="Ms."/>
    <s v="Megan"/>
    <m/>
    <s v="Scott"/>
    <x v="12"/>
    <s v="Aquarius"/>
    <x v="0"/>
    <s v="GB"/>
    <x v="2"/>
    <x v="0"/>
    <x v="12"/>
    <n v="70.900000000000006"/>
    <s v="Green"/>
    <s v="A−"/>
    <x v="1"/>
    <x v="11"/>
    <n v="117408"/>
  </r>
  <r>
    <x v="13"/>
    <x v="13"/>
    <s v="Hr."/>
    <s v="Helmut"/>
    <m/>
    <s v="Weinhae"/>
    <x v="13"/>
    <s v="Virgo"/>
    <x v="1"/>
    <s v="DE"/>
    <x v="3"/>
    <x v="2"/>
    <x v="13"/>
    <n v="68.3"/>
    <s v="Gray"/>
    <s v="A+"/>
    <x v="1"/>
    <x v="12"/>
    <n v="64862"/>
  </r>
  <r>
    <x v="14"/>
    <x v="14"/>
    <s v="Prof."/>
    <s v="Milena"/>
    <m/>
    <s v="Schotin"/>
    <x v="14"/>
    <s v="Pisces"/>
    <x v="0"/>
    <s v="DE"/>
    <x v="3"/>
    <x v="2"/>
    <x v="14"/>
    <n v="105.3"/>
    <s v="Gray"/>
    <s v="O+"/>
    <x v="0"/>
    <x v="13"/>
    <n v="10241"/>
  </r>
  <r>
    <x v="15"/>
    <x v="15"/>
    <s v="Hr."/>
    <s v="Lothar"/>
    <m/>
    <s v="Birnbaum"/>
    <x v="15"/>
    <s v="Cancer"/>
    <x v="1"/>
    <s v="DE"/>
    <x v="3"/>
    <x v="2"/>
    <x v="15"/>
    <n v="48.6"/>
    <s v="Blue"/>
    <s v="O+"/>
    <x v="1"/>
    <x v="3"/>
    <n v="88762"/>
  </r>
  <r>
    <x v="16"/>
    <x v="16"/>
    <s v="Hr."/>
    <s v="Pietro"/>
    <m/>
    <s v="Stolze"/>
    <x v="16"/>
    <s v="Libra"/>
    <x v="1"/>
    <s v="DE"/>
    <x v="3"/>
    <x v="2"/>
    <x v="16"/>
    <n v="105.9"/>
    <s v="Blue"/>
    <s v="A−"/>
    <x v="0"/>
    <x v="14"/>
    <n v="80757"/>
  </r>
  <r>
    <x v="17"/>
    <x v="17"/>
    <s v="Hr."/>
    <s v="Richard "/>
    <m/>
    <s v="Tlustek"/>
    <x v="17"/>
    <s v="Virgo"/>
    <x v="1"/>
    <s v="DE"/>
    <x v="3"/>
    <x v="2"/>
    <x v="17"/>
    <n v="71.099999999999994"/>
    <s v="Blue"/>
    <s v="A−"/>
    <x v="1"/>
    <x v="15"/>
    <n v="88794"/>
  </r>
  <r>
    <x v="18"/>
    <x v="18"/>
    <s v="Dr."/>
    <s v="Earnestine"/>
    <m/>
    <s v="Raynor"/>
    <x v="18"/>
    <s v="Taurus"/>
    <x v="0"/>
    <s v="OZ"/>
    <x v="4"/>
    <x v="0"/>
    <x v="18"/>
    <n v="70.3"/>
    <s v="Blue"/>
    <s v="A+"/>
    <x v="0"/>
    <x v="16"/>
    <n v="63526"/>
  </r>
  <r>
    <x v="19"/>
    <x v="19"/>
    <s v="Mr."/>
    <s v="Jason"/>
    <m/>
    <s v="Gaylord"/>
    <x v="19"/>
    <s v="Capricorn"/>
    <x v="1"/>
    <s v="OZ"/>
    <x v="4"/>
    <x v="0"/>
    <x v="19"/>
    <n v="54.7"/>
    <s v="Brown"/>
    <s v="O−"/>
    <x v="0"/>
    <x v="17"/>
    <n v="46352"/>
  </r>
  <r>
    <x v="20"/>
    <x v="20"/>
    <s v="Mr."/>
    <s v="Kendrick"/>
    <m/>
    <s v="Sauer"/>
    <x v="20"/>
    <s v="Cancer"/>
    <x v="1"/>
    <s v="OZ"/>
    <x v="4"/>
    <x v="0"/>
    <x v="20"/>
    <n v="100.9"/>
    <s v="Blue"/>
    <s v="B−"/>
    <x v="1"/>
    <x v="18"/>
    <n v="106808"/>
  </r>
  <r>
    <x v="21"/>
    <x v="21"/>
    <s v="Dr."/>
    <s v="Annabell"/>
    <m/>
    <s v="Olson"/>
    <x v="21"/>
    <s v="Aries"/>
    <x v="0"/>
    <s v="OZ"/>
    <x v="4"/>
    <x v="0"/>
    <x v="21"/>
    <n v="84.3"/>
    <s v="Green"/>
    <s v="A+"/>
    <x v="1"/>
    <x v="19"/>
    <n v="96468"/>
  </r>
  <r>
    <x v="22"/>
    <x v="22"/>
    <s v="Dr."/>
    <s v="Jena"/>
    <m/>
    <s v="Upton"/>
    <x v="22"/>
    <s v="Sagittarius"/>
    <x v="0"/>
    <s v="OZ"/>
    <x v="4"/>
    <x v="0"/>
    <x v="22"/>
    <n v="66.8"/>
    <s v="Blue"/>
    <s v="O+"/>
    <x v="1"/>
    <x v="20"/>
    <n v="16526"/>
  </r>
  <r>
    <x v="23"/>
    <x v="23"/>
    <s v="Dr."/>
    <s v="Shanny"/>
    <m/>
    <s v="Bins"/>
    <x v="23"/>
    <s v="Virgo"/>
    <x v="0"/>
    <s v="OZ"/>
    <x v="4"/>
    <x v="0"/>
    <x v="23"/>
    <n v="59.4"/>
    <s v="Amber"/>
    <s v="B−"/>
    <x v="1"/>
    <x v="21"/>
    <n v="21891"/>
  </r>
  <r>
    <x v="24"/>
    <x v="24"/>
    <s v="Dr."/>
    <s v="Tia"/>
    <m/>
    <s v="Abshire"/>
    <x v="24"/>
    <s v="Cancer"/>
    <x v="0"/>
    <s v="OZ"/>
    <x v="4"/>
    <x v="0"/>
    <x v="24"/>
    <n v="77.8"/>
    <s v="Amber"/>
    <s v="A+"/>
    <x v="1"/>
    <x v="6"/>
    <n v="62037"/>
  </r>
  <r>
    <x v="25"/>
    <x v="25"/>
    <s v="Ms."/>
    <s v="Isabel"/>
    <m/>
    <s v="Runolfsdottir"/>
    <x v="25"/>
    <s v="Aries"/>
    <x v="0"/>
    <s v="OZ"/>
    <x v="4"/>
    <x v="0"/>
    <x v="25"/>
    <n v="85.9"/>
    <s v="Blue"/>
    <s v="B+"/>
    <x v="0"/>
    <x v="0"/>
    <n v="89737"/>
  </r>
  <r>
    <x v="26"/>
    <x v="26"/>
    <s v="Hr."/>
    <s v="Barney"/>
    <m/>
    <s v="Wesack"/>
    <x v="26"/>
    <s v="Cancer"/>
    <x v="1"/>
    <s v="AU"/>
    <x v="5"/>
    <x v="2"/>
    <x v="26"/>
    <n v="93.4"/>
    <s v="Amber"/>
    <s v="B+"/>
    <x v="0"/>
    <x v="22"/>
    <n v="41039"/>
  </r>
  <r>
    <x v="27"/>
    <x v="27"/>
    <s v="Hr."/>
    <s v="Baruch"/>
    <m/>
    <s v="Kade"/>
    <x v="27"/>
    <s v="Pisces"/>
    <x v="1"/>
    <s v="AU"/>
    <x v="5"/>
    <x v="2"/>
    <x v="27"/>
    <n v="95.5"/>
    <s v="Gray"/>
    <s v="O−"/>
    <x v="1"/>
    <x v="11"/>
    <m/>
  </r>
  <r>
    <x v="28"/>
    <x v="28"/>
    <s v="Prof."/>
    <s v="Liesbeth"/>
    <m/>
    <s v="Rosemann"/>
    <x v="28"/>
    <s v="Aquarius"/>
    <x v="0"/>
    <s v="AU"/>
    <x v="5"/>
    <x v="2"/>
    <x v="28"/>
    <n v="52.2"/>
    <s v="Blue"/>
    <s v="O+"/>
    <x v="1"/>
    <x v="6"/>
    <n v="55007"/>
  </r>
  <r>
    <x v="29"/>
    <x v="29"/>
    <s v="Mme."/>
    <s v="Valentine"/>
    <m/>
    <s v="Moreau"/>
    <x v="29"/>
    <s v="Libra"/>
    <x v="0"/>
    <s v="FR"/>
    <x v="6"/>
    <x v="3"/>
    <x v="29"/>
    <n v="74.599999999999994"/>
    <s v="Blue"/>
    <s v="B+"/>
    <x v="1"/>
    <x v="23"/>
    <n v="69041"/>
  </r>
  <r>
    <x v="30"/>
    <x v="30"/>
    <s v="Mme."/>
    <s v="Paulette"/>
    <m/>
    <s v="Durand"/>
    <x v="30"/>
    <s v="Capricorn"/>
    <x v="0"/>
    <s v="FR"/>
    <x v="6"/>
    <x v="3"/>
    <x v="30"/>
    <n v="81.7"/>
    <s v="Amber"/>
    <s v="O−"/>
    <x v="0"/>
    <x v="22"/>
    <n v="86262"/>
  </r>
  <r>
    <x v="31"/>
    <x v="31"/>
    <s v="Mme."/>
    <s v="Laure-Alix"/>
    <m/>
    <s v="Chevalier"/>
    <x v="31"/>
    <s v="Capricorn"/>
    <x v="0"/>
    <s v="FR"/>
    <x v="6"/>
    <x v="3"/>
    <x v="31"/>
    <n v="78.099999999999994"/>
    <s v="Blue"/>
    <s v="O+"/>
    <x v="1"/>
    <x v="20"/>
    <n v="19234"/>
  </r>
  <r>
    <x v="32"/>
    <x v="32"/>
    <s v="M."/>
    <s v="Claude"/>
    <m/>
    <s v="Toussaint"/>
    <x v="32"/>
    <s v="Scorpio"/>
    <x v="1"/>
    <s v="FR"/>
    <x v="6"/>
    <x v="3"/>
    <x v="32"/>
    <n v="57.1"/>
    <s v="Green"/>
    <s v="O+"/>
    <x v="0"/>
    <x v="24"/>
    <n v="95123"/>
  </r>
  <r>
    <x v="33"/>
    <x v="33"/>
    <s v="M."/>
    <s v="Victor"/>
    <m/>
    <s v="Lenoir"/>
    <x v="33"/>
    <s v="Libra"/>
    <x v="1"/>
    <s v="FR"/>
    <x v="6"/>
    <x v="3"/>
    <x v="33"/>
    <n v="56"/>
    <s v="Blue"/>
    <s v="B+"/>
    <x v="1"/>
    <x v="18"/>
    <n v="62761"/>
  </r>
  <r>
    <x v="34"/>
    <x v="34"/>
    <s v="M."/>
    <s v="Arthur"/>
    <m/>
    <s v="Lenoir"/>
    <x v="34"/>
    <s v="Leo"/>
    <x v="1"/>
    <s v="FR"/>
    <x v="6"/>
    <x v="3"/>
    <x v="34"/>
    <n v="88.6"/>
    <s v="Amber"/>
    <s v="O+"/>
    <x v="1"/>
    <x v="25"/>
    <n v="108431"/>
  </r>
  <r>
    <x v="35"/>
    <x v="35"/>
    <s v="M."/>
    <s v="Benjamin"/>
    <m/>
    <s v="Lebrun-Brun"/>
    <x v="35"/>
    <s v="Aquarius"/>
    <x v="1"/>
    <s v="FR"/>
    <x v="6"/>
    <x v="3"/>
    <x v="35"/>
    <n v="78.2"/>
    <s v="Brown"/>
    <s v="O−"/>
    <x v="1"/>
    <x v="18"/>
    <n v="66268"/>
  </r>
  <r>
    <x v="36"/>
    <x v="36"/>
    <s v="M."/>
    <s v="Antoine"/>
    <m/>
    <s v="Maillard"/>
    <x v="36"/>
    <s v="Cancer"/>
    <x v="1"/>
    <s v="FR"/>
    <x v="6"/>
    <x v="3"/>
    <x v="36"/>
    <n v="95.8"/>
    <s v="Blue"/>
    <s v="B−"/>
    <x v="1"/>
    <x v="26"/>
    <n v="33970"/>
  </r>
  <r>
    <x v="37"/>
    <x v="37"/>
    <s v="M."/>
    <s v="Bernard"/>
    <m/>
    <s v="Hoarau-Guyon"/>
    <x v="37"/>
    <s v="Capricorn"/>
    <x v="1"/>
    <s v="FR"/>
    <x v="6"/>
    <x v="3"/>
    <x v="37"/>
    <n v="59.7"/>
    <s v="Gray"/>
    <s v="O−"/>
    <x v="0"/>
    <x v="0"/>
    <n v="71352"/>
  </r>
  <r>
    <x v="38"/>
    <x v="38"/>
    <s v="Sr."/>
    <s v="Hidalgo"/>
    <s v="Cantu"/>
    <s v="Tercero"/>
    <x v="38"/>
    <s v="Sagittarius"/>
    <x v="1"/>
    <s v="AG"/>
    <x v="7"/>
    <x v="4"/>
    <x v="38"/>
    <n v="77.7"/>
    <s v="Gray"/>
    <s v="B−"/>
    <x v="1"/>
    <x v="21"/>
    <n v="116376"/>
  </r>
  <r>
    <x v="39"/>
    <x v="39"/>
    <s v="Sr."/>
    <s v="Hadalgo"/>
    <m/>
    <s v="Polanco"/>
    <x v="39"/>
    <s v="Gemini"/>
    <x v="1"/>
    <s v="AG"/>
    <x v="7"/>
    <x v="4"/>
    <x v="39"/>
    <n v="98"/>
    <s v="Blue"/>
    <s v="A−"/>
    <x v="1"/>
    <x v="20"/>
    <n v="114144"/>
  </r>
  <r>
    <x v="40"/>
    <x v="40"/>
    <s v="Sra."/>
    <s v="Laura"/>
    <m/>
    <s v="Oliviera"/>
    <x v="40"/>
    <s v="Aquarius"/>
    <x v="0"/>
    <s v="AG"/>
    <x v="7"/>
    <x v="4"/>
    <x v="40"/>
    <n v="51.9"/>
    <s v="Amber"/>
    <s v="O−"/>
    <x v="1"/>
    <x v="27"/>
    <n v="79872"/>
  </r>
  <r>
    <x v="41"/>
    <x v="41"/>
    <s v="Sra."/>
    <s v="Ainhoa"/>
    <m/>
    <s v="Garza"/>
    <x v="41"/>
    <s v="Pisces"/>
    <x v="0"/>
    <s v="ES"/>
    <x v="8"/>
    <x v="4"/>
    <x v="41"/>
    <n v="55.6"/>
    <s v="Brown"/>
    <s v="O+"/>
    <x v="0"/>
    <x v="28"/>
    <n v="101969"/>
  </r>
  <r>
    <x v="42"/>
    <x v="42"/>
    <s v="Sra."/>
    <s v="Isabel"/>
    <m/>
    <s v="Banda"/>
    <x v="42"/>
    <s v="Capricorn"/>
    <x v="0"/>
    <s v="ES"/>
    <x v="8"/>
    <x v="4"/>
    <x v="42"/>
    <n v="102.3"/>
    <s v="Amber"/>
    <s v="O+"/>
    <x v="1"/>
    <x v="21"/>
    <n v="50659"/>
  </r>
  <r>
    <x v="43"/>
    <x v="43"/>
    <s v="Sra."/>
    <s v="Carolota"/>
    <m/>
    <s v="Mateos"/>
    <x v="43"/>
    <s v="Leo"/>
    <x v="0"/>
    <s v="ES"/>
    <x v="8"/>
    <x v="4"/>
    <x v="43"/>
    <n v="58.8"/>
    <s v="Gray"/>
    <s v="O−"/>
    <x v="1"/>
    <x v="27"/>
    <n v="58215"/>
  </r>
  <r>
    <x v="44"/>
    <x v="44"/>
    <s v="Mw."/>
    <s v="Elize"/>
    <m/>
    <s v="Prins"/>
    <x v="44"/>
    <s v="Taurus"/>
    <x v="0"/>
    <s v="DU"/>
    <x v="9"/>
    <x v="5"/>
    <x v="44"/>
    <n v="63.8"/>
    <s v="Blue"/>
    <s v="O+"/>
    <x v="0"/>
    <x v="29"/>
    <n v="39935"/>
  </r>
  <r>
    <x v="45"/>
    <x v="45"/>
    <s v="dhr."/>
    <s v="Ryan"/>
    <m/>
    <s v="Pham"/>
    <x v="45"/>
    <s v="Libra"/>
    <x v="1"/>
    <s v="DU"/>
    <x v="9"/>
    <x v="5"/>
    <x v="45"/>
    <n v="98.6"/>
    <s v="Amber"/>
    <s v="B+"/>
    <x v="1"/>
    <x v="20"/>
    <n v="44865"/>
  </r>
  <r>
    <x v="46"/>
    <x v="46"/>
    <s v="Mw"/>
    <s v="Elise"/>
    <m/>
    <s v="Rotteveel"/>
    <x v="46"/>
    <s v="Aries"/>
    <x v="0"/>
    <s v="DU"/>
    <x v="9"/>
    <x v="5"/>
    <x v="46"/>
    <n v="61.8"/>
    <s v="Gray"/>
    <s v="O−"/>
    <x v="1"/>
    <x v="20"/>
    <n v="90478"/>
  </r>
  <r>
    <x v="47"/>
    <x v="47"/>
    <s v="Fru."/>
    <s v="Mirjam"/>
    <m/>
    <s v="Soderberg"/>
    <x v="47"/>
    <s v="Taurus"/>
    <x v="0"/>
    <s v="SV"/>
    <x v="10"/>
    <x v="6"/>
    <x v="47"/>
    <n v="50"/>
    <s v="Amber"/>
    <s v="O+"/>
    <x v="1"/>
    <x v="2"/>
    <n v="38965"/>
  </r>
  <r>
    <x v="48"/>
    <x v="48"/>
    <s v="H."/>
    <s v="Berndt"/>
    <m/>
    <s v="Palsson"/>
    <x v="48"/>
    <s v="Pisces"/>
    <x v="1"/>
    <s v="SV"/>
    <x v="10"/>
    <x v="6"/>
    <x v="48"/>
    <n v="45.9"/>
    <s v="Blue"/>
    <s v="A−"/>
    <x v="1"/>
    <x v="30"/>
    <n v="35387"/>
  </r>
  <r>
    <x v="49"/>
    <x v="49"/>
    <s v="Sr."/>
    <s v="Adriano"/>
    <s v="Pontes"/>
    <s v="Sobrinho"/>
    <x v="49"/>
    <s v="Leo"/>
    <x v="1"/>
    <s v="PR"/>
    <x v="1"/>
    <x v="1"/>
    <x v="49"/>
    <n v="92.5"/>
    <s v="Green"/>
    <s v="A+"/>
    <x v="0"/>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B3:D15" firstHeaderRow="1" firstDataRow="2" firstDataCol="1"/>
  <pivotFields count="19">
    <pivotField dataField="1" numFmtId="165" showAll="0"/>
    <pivotField showAll="0"/>
    <pivotField showAll="0"/>
    <pivotField showAll="0"/>
    <pivotField showAll="0"/>
    <pivotField showAll="0"/>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pivotField showAll="0"/>
    <pivotField showAll="0"/>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 of MEMBER 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location ref="A6:H24" firstHeaderRow="1" firstDataRow="1" firstDataCol="8"/>
  <pivotFields count="19">
    <pivotField axis="axisRow" compact="0" numFmtId="165" outline="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extLst>
        <ext xmlns:x14="http://schemas.microsoft.com/office/spreadsheetml/2009/9/main" uri="{2946ED86-A175-432a-8AC1-64E0C546D7DE}">
          <x14:pivotField fillDownLabels="1"/>
        </ext>
      </extLst>
    </pivotField>
    <pivotField axis="axisRow" compact="0" outline="0" showAll="0" defaultSubtotal="0">
      <items count="50">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7"/>
        <item x="4"/>
        <item x="5"/>
        <item x="1"/>
        <item x="6"/>
        <item x="3"/>
        <item x="9"/>
        <item x="8"/>
        <item x="10"/>
        <item x="2"/>
        <item x="0"/>
      </items>
      <extLst>
        <ext xmlns:x14="http://schemas.microsoft.com/office/spreadsheetml/2009/9/main" uri="{2946ED86-A175-432a-8AC1-64E0C546D7DE}">
          <x14:pivotField fillDownLabels="1"/>
        </ext>
      </extLst>
    </pivotField>
    <pivotField axis="axisRow" compact="0" outline="0" showAll="0" defaultSubtotal="0">
      <items count="7">
        <item x="5"/>
        <item x="0"/>
        <item x="3"/>
        <item x="2"/>
        <item x="1"/>
        <item x="4"/>
        <item x="6"/>
      </items>
      <extLst>
        <ext xmlns:x14="http://schemas.microsoft.com/office/spreadsheetml/2009/9/main" uri="{2946ED86-A175-432a-8AC1-64E0C546D7DE}">
          <x14:pivotField fillDownLabels="1"/>
        </ext>
      </extLst>
    </pivotField>
    <pivotField axis="axisRow" compact="0" outline="0" showAll="0" defaultSubtotal="0">
      <items count="50">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s>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axis="axisRow" compact="0" outline="0" showAll="0" defaultSubtotal="0">
      <items count="32">
        <item x="3"/>
        <item x="10"/>
        <item x="27"/>
        <item x="17"/>
        <item sd="0" x="20"/>
        <item x="30"/>
        <item x="1"/>
        <item x="21"/>
        <item x="12"/>
        <item x="7"/>
        <item x="13"/>
        <item x="15"/>
        <item x="6"/>
        <item x="0"/>
        <item x="24"/>
        <item x="19"/>
        <item x="5"/>
        <item x="2"/>
        <item x="9"/>
        <item x="23"/>
        <item x="28"/>
        <item x="14"/>
        <item x="25"/>
        <item x="29"/>
        <item x="11"/>
        <item x="26"/>
        <item x="8"/>
        <item x="16"/>
        <item x="31"/>
        <item x="18"/>
        <item x="2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8">
    <field x="0"/>
    <field x="1"/>
    <field x="12"/>
    <field x="8"/>
    <field x="6"/>
    <field x="10"/>
    <field x="11"/>
    <field x="17"/>
  </rowFields>
  <rowItems count="18">
    <i>
      <x/>
      <x v="32"/>
      <x/>
      <x/>
      <x v="43"/>
      <x v="10"/>
      <x v="1"/>
      <x v="13"/>
    </i>
    <i>
      <x v="1"/>
      <x v="33"/>
      <x v="18"/>
      <x/>
      <x v="38"/>
      <x v="10"/>
      <x v="1"/>
      <x v="6"/>
    </i>
    <i>
      <x v="4"/>
      <x v="3"/>
      <x v="5"/>
      <x v="1"/>
      <x v="16"/>
      <x v="10"/>
      <x v="1"/>
      <x v="31"/>
    </i>
    <i>
      <x v="5"/>
      <x v="26"/>
      <x v="19"/>
      <x v="1"/>
      <x v="38"/>
      <x v="10"/>
      <x v="1"/>
      <x v="16"/>
    </i>
    <i>
      <x v="7"/>
      <x v="27"/>
      <x v="30"/>
      <x v="1"/>
      <x v="9"/>
      <x v="10"/>
      <x v="1"/>
      <x v="9"/>
    </i>
    <i>
      <x v="8"/>
      <x v="30"/>
      <x v="41"/>
      <x/>
      <x v="17"/>
      <x v="9"/>
      <x v="1"/>
      <x v="26"/>
    </i>
    <i>
      <x v="14"/>
      <x v="40"/>
      <x v="36"/>
      <x/>
      <x v="11"/>
      <x v="5"/>
      <x v="3"/>
      <x v="10"/>
    </i>
    <i>
      <x v="16"/>
      <x v="13"/>
      <x v="42"/>
      <x v="1"/>
      <x v="18"/>
      <x v="5"/>
      <x v="3"/>
      <x v="21"/>
    </i>
    <i>
      <x v="18"/>
      <x v="2"/>
      <x v="31"/>
      <x/>
      <x v="23"/>
      <x v="1"/>
      <x v="1"/>
      <x v="27"/>
    </i>
    <i>
      <x v="19"/>
      <x v="24"/>
      <x v="12"/>
      <x v="1"/>
      <x v="22"/>
      <x v="1"/>
      <x v="1"/>
      <x v="3"/>
    </i>
    <i>
      <x v="25"/>
      <x v="35"/>
      <x v="34"/>
      <x/>
      <x v="24"/>
      <x v="1"/>
      <x v="1"/>
      <x v="13"/>
    </i>
    <i>
      <x v="26"/>
      <x v="9"/>
      <x v="48"/>
      <x v="1"/>
      <x v="16"/>
      <x v="2"/>
      <x v="3"/>
      <x v="30"/>
    </i>
    <i>
      <x v="30"/>
      <x v="22"/>
      <x v="8"/>
      <x/>
      <x v="35"/>
      <x v="4"/>
      <x v="2"/>
      <x v="30"/>
    </i>
    <i>
      <x v="32"/>
      <x v="19"/>
      <x v="45"/>
      <x v="1"/>
      <x v="26"/>
      <x v="4"/>
      <x v="2"/>
      <x v="14"/>
    </i>
    <i>
      <x v="37"/>
      <x v="18"/>
      <x v="13"/>
      <x v="1"/>
      <x v="29"/>
      <x v="4"/>
      <x v="2"/>
      <x v="13"/>
    </i>
    <i>
      <x v="41"/>
      <x v="46"/>
      <x v="11"/>
      <x/>
      <x v="36"/>
      <x v="7"/>
      <x v="5"/>
      <x v="20"/>
    </i>
    <i>
      <x v="44"/>
      <x v="38"/>
      <x v="29"/>
      <x/>
      <x v="6"/>
      <x v="6"/>
      <x/>
      <x v="23"/>
    </i>
    <i>
      <x v="49"/>
      <x v="42"/>
      <x v="39"/>
      <x v="1"/>
      <x v="39"/>
      <x v="3"/>
      <x v="4"/>
      <x v="28"/>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PORT_LOCATION" sourceName="SPORT LOCATION">
  <pivotTables>
    <pivotTable tabId="11" name="PivotTable1"/>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PORT LOCATION" cache="Slicer_SPORT_LOCATION" caption="SPORT 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8"/>
  <sheetViews>
    <sheetView showGridLines="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
    <row r="2" spans="2:5" ht="16.5" customHeight="1" x14ac:dyDescent="0.3">
      <c r="B2" s="44" t="s">
        <v>252</v>
      </c>
      <c r="C2" s="45"/>
      <c r="D2" s="46"/>
      <c r="E2" s="50" t="s">
        <v>232</v>
      </c>
    </row>
    <row r="3" spans="2:5" ht="42" customHeight="1" thickBot="1" x14ac:dyDescent="0.35">
      <c r="B3" s="47"/>
      <c r="C3" s="48"/>
      <c r="D3" s="49"/>
      <c r="E3" s="51"/>
    </row>
    <row r="4" spans="2:5" ht="8.25" customHeight="1" x14ac:dyDescent="0.25"/>
    <row r="5" spans="2:5" ht="19.5" customHeight="1" thickBot="1" x14ac:dyDescent="0.3">
      <c r="C5" s="9" t="s">
        <v>226</v>
      </c>
      <c r="D5" s="9" t="s">
        <v>223</v>
      </c>
      <c r="E5" s="10" t="s">
        <v>224</v>
      </c>
    </row>
    <row r="6" spans="2:5" ht="19.5" customHeight="1" thickBot="1" x14ac:dyDescent="0.3">
      <c r="B6" s="20" t="s">
        <v>135</v>
      </c>
      <c r="C6" s="42" t="s">
        <v>225</v>
      </c>
      <c r="D6" s="42"/>
      <c r="E6" s="43"/>
    </row>
    <row r="7" spans="2:5" ht="15" x14ac:dyDescent="0.25">
      <c r="B7" s="19">
        <v>1</v>
      </c>
      <c r="C7" s="11" t="s">
        <v>234</v>
      </c>
      <c r="D7" s="12" t="s">
        <v>229</v>
      </c>
      <c r="E7" s="13" t="s">
        <v>220</v>
      </c>
    </row>
    <row r="8" spans="2:5" ht="15" x14ac:dyDescent="0.25">
      <c r="B8" s="12">
        <v>2</v>
      </c>
      <c r="C8" s="11" t="s">
        <v>234</v>
      </c>
      <c r="D8" s="12" t="s">
        <v>230</v>
      </c>
      <c r="E8" s="13" t="s">
        <v>235</v>
      </c>
    </row>
    <row r="9" spans="2:5" ht="15" x14ac:dyDescent="0.25">
      <c r="B9" s="12">
        <v>3</v>
      </c>
      <c r="C9" s="11" t="s">
        <v>234</v>
      </c>
      <c r="D9" s="12" t="s">
        <v>231</v>
      </c>
      <c r="E9" s="13" t="s">
        <v>236</v>
      </c>
    </row>
    <row r="10" spans="2:5" ht="25.5" x14ac:dyDescent="0.25">
      <c r="B10" s="12">
        <v>4</v>
      </c>
      <c r="C10" s="11" t="s">
        <v>234</v>
      </c>
      <c r="D10" s="12" t="s">
        <v>237</v>
      </c>
      <c r="E10" s="31" t="s">
        <v>282</v>
      </c>
    </row>
    <row r="11" spans="2:5" ht="15.75" thickBot="1" x14ac:dyDescent="0.3">
      <c r="B11" s="15">
        <v>5</v>
      </c>
      <c r="C11" s="14" t="s">
        <v>234</v>
      </c>
      <c r="D11" s="15" t="s">
        <v>240</v>
      </c>
      <c r="E11" s="16" t="s">
        <v>241</v>
      </c>
    </row>
    <row r="12" spans="2:5" ht="16.5" thickTop="1" thickBot="1" x14ac:dyDescent="0.3"/>
    <row r="13" spans="2:5" ht="19.5" customHeight="1" thickBot="1" x14ac:dyDescent="0.3">
      <c r="B13" s="20" t="s">
        <v>135</v>
      </c>
      <c r="C13" s="42" t="s">
        <v>242</v>
      </c>
      <c r="D13" s="42"/>
      <c r="E13" s="43"/>
    </row>
    <row r="14" spans="2:5" x14ac:dyDescent="0.3">
      <c r="B14" s="19">
        <v>1</v>
      </c>
      <c r="C14" s="12" t="s">
        <v>234</v>
      </c>
      <c r="D14" s="12" t="s">
        <v>243</v>
      </c>
      <c r="E14" s="17" t="s">
        <v>244</v>
      </c>
    </row>
    <row r="15" spans="2:5" ht="15" x14ac:dyDescent="0.25">
      <c r="B15" s="12">
        <v>2</v>
      </c>
      <c r="C15" s="12" t="s">
        <v>234</v>
      </c>
      <c r="D15" s="12" t="s">
        <v>245</v>
      </c>
      <c r="E15" s="17" t="s">
        <v>249</v>
      </c>
    </row>
    <row r="16" spans="2:5" x14ac:dyDescent="0.3">
      <c r="B16" s="12">
        <v>3</v>
      </c>
      <c r="C16" s="12" t="s">
        <v>234</v>
      </c>
      <c r="D16" s="12" t="s">
        <v>247</v>
      </c>
      <c r="E16" s="17" t="s">
        <v>248</v>
      </c>
    </row>
    <row r="17" spans="2:5" ht="55.8" thickBot="1" x14ac:dyDescent="0.35">
      <c r="B17" s="15">
        <v>4</v>
      </c>
      <c r="C17" s="15" t="s">
        <v>234</v>
      </c>
      <c r="D17" s="15" t="s">
        <v>250</v>
      </c>
      <c r="E17" s="18" t="s">
        <v>251</v>
      </c>
    </row>
    <row r="18" spans="2:5" ht="15" thickTop="1" x14ac:dyDescent="0.3"/>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9"/>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
    <row r="2" spans="2:5" ht="16.5" customHeight="1" x14ac:dyDescent="0.3">
      <c r="B2" s="44" t="s">
        <v>253</v>
      </c>
      <c r="C2" s="45"/>
      <c r="D2" s="46"/>
      <c r="E2" s="50" t="s">
        <v>232</v>
      </c>
    </row>
    <row r="3" spans="2:5" ht="42" customHeight="1" thickBot="1" x14ac:dyDescent="0.35">
      <c r="B3" s="47"/>
      <c r="C3" s="48"/>
      <c r="D3" s="49"/>
      <c r="E3" s="51"/>
    </row>
    <row r="4" spans="2:5" ht="8.25" customHeight="1" x14ac:dyDescent="0.25"/>
    <row r="5" spans="2:5" ht="27" customHeight="1" x14ac:dyDescent="0.25">
      <c r="B5" s="23" t="s">
        <v>260</v>
      </c>
      <c r="C5" s="22"/>
      <c r="D5" s="21"/>
      <c r="E5" s="21"/>
    </row>
    <row r="6" spans="2:5" ht="19.5" customHeight="1" thickBot="1" x14ac:dyDescent="0.3">
      <c r="C6" s="9" t="s">
        <v>226</v>
      </c>
      <c r="D6" s="9" t="s">
        <v>257</v>
      </c>
      <c r="E6" s="10" t="s">
        <v>224</v>
      </c>
    </row>
    <row r="7" spans="2:5" ht="19.5" customHeight="1" thickBot="1" x14ac:dyDescent="0.3">
      <c r="B7" s="20" t="s">
        <v>135</v>
      </c>
      <c r="C7" s="42" t="s">
        <v>254</v>
      </c>
      <c r="D7" s="42"/>
      <c r="E7" s="43"/>
    </row>
    <row r="8" spans="2:5" ht="15" x14ac:dyDescent="0.25">
      <c r="B8" s="19">
        <v>1</v>
      </c>
      <c r="C8" s="11" t="s">
        <v>256</v>
      </c>
      <c r="D8" s="12" t="s">
        <v>258</v>
      </c>
      <c r="E8" s="17" t="s">
        <v>259</v>
      </c>
    </row>
    <row r="9" spans="2:5" ht="15" x14ac:dyDescent="0.25">
      <c r="B9" s="12">
        <v>2</v>
      </c>
      <c r="C9" s="11" t="s">
        <v>256</v>
      </c>
      <c r="D9" s="12"/>
      <c r="E9" s="17" t="s">
        <v>261</v>
      </c>
    </row>
    <row r="10" spans="2:5" ht="15" x14ac:dyDescent="0.25">
      <c r="B10" s="12">
        <v>3</v>
      </c>
      <c r="C10" s="11" t="s">
        <v>256</v>
      </c>
      <c r="D10" s="12"/>
      <c r="E10" s="17" t="s">
        <v>262</v>
      </c>
    </row>
    <row r="11" spans="2:5" ht="15" x14ac:dyDescent="0.25">
      <c r="B11" s="12">
        <v>4</v>
      </c>
      <c r="C11" s="11" t="s">
        <v>256</v>
      </c>
      <c r="D11" s="12"/>
      <c r="E11" s="17" t="s">
        <v>263</v>
      </c>
    </row>
    <row r="12" spans="2:5" ht="15.75" thickBot="1" x14ac:dyDescent="0.3">
      <c r="B12" s="15">
        <v>5</v>
      </c>
      <c r="C12" s="14" t="s">
        <v>256</v>
      </c>
      <c r="D12" s="15"/>
      <c r="E12" s="18" t="s">
        <v>264</v>
      </c>
    </row>
    <row r="13" spans="2:5" ht="16.5" thickTop="1" thickBot="1" x14ac:dyDescent="0.3"/>
    <row r="14" spans="2:5" ht="19.5" customHeight="1" thickBot="1" x14ac:dyDescent="0.3">
      <c r="B14" s="20" t="s">
        <v>135</v>
      </c>
      <c r="C14" s="42" t="s">
        <v>255</v>
      </c>
      <c r="D14" s="42"/>
      <c r="E14" s="43"/>
    </row>
    <row r="15" spans="2:5" ht="15" x14ac:dyDescent="0.25">
      <c r="B15" s="19">
        <v>1</v>
      </c>
      <c r="C15" s="11" t="s">
        <v>256</v>
      </c>
      <c r="D15" s="12" t="s">
        <v>265</v>
      </c>
      <c r="E15" s="17" t="s">
        <v>273</v>
      </c>
    </row>
    <row r="16" spans="2:5" x14ac:dyDescent="0.3">
      <c r="B16" s="12">
        <v>2</v>
      </c>
      <c r="C16" s="11" t="s">
        <v>256</v>
      </c>
      <c r="D16" s="12" t="s">
        <v>266</v>
      </c>
      <c r="E16" s="17" t="s">
        <v>268</v>
      </c>
    </row>
    <row r="17" spans="2:5" x14ac:dyDescent="0.3">
      <c r="B17" s="12">
        <v>3</v>
      </c>
      <c r="C17" s="11" t="s">
        <v>256</v>
      </c>
      <c r="D17" s="12" t="s">
        <v>267</v>
      </c>
      <c r="E17" s="17" t="s">
        <v>269</v>
      </c>
    </row>
    <row r="18" spans="2:5" ht="15" thickBot="1" x14ac:dyDescent="0.35">
      <c r="B18" s="15">
        <v>4</v>
      </c>
      <c r="C18" s="14" t="s">
        <v>256</v>
      </c>
      <c r="D18" s="15" t="s">
        <v>271</v>
      </c>
      <c r="E18" s="18" t="s">
        <v>270</v>
      </c>
    </row>
    <row r="19" spans="2:5" ht="15" thickTop="1" x14ac:dyDescent="0.3"/>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4"/>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
    <row r="2" spans="2:5" ht="16.5" customHeight="1" x14ac:dyDescent="0.3">
      <c r="B2" s="44" t="s">
        <v>272</v>
      </c>
      <c r="C2" s="45"/>
      <c r="D2" s="46"/>
      <c r="E2" s="50" t="s">
        <v>232</v>
      </c>
    </row>
    <row r="3" spans="2:5" ht="42" customHeight="1" thickBot="1" x14ac:dyDescent="0.35">
      <c r="B3" s="47"/>
      <c r="C3" s="48"/>
      <c r="D3" s="49"/>
      <c r="E3" s="51"/>
    </row>
    <row r="4" spans="2:5" ht="8.25" customHeight="1" x14ac:dyDescent="0.25"/>
    <row r="5" spans="2:5" ht="27" customHeight="1" x14ac:dyDescent="0.25">
      <c r="B5" s="23" t="s">
        <v>260</v>
      </c>
      <c r="C5" s="22"/>
      <c r="D5" s="21"/>
      <c r="E5" s="21"/>
    </row>
    <row r="6" spans="2:5" ht="19.5" customHeight="1" thickBot="1" x14ac:dyDescent="0.3">
      <c r="C6" s="9" t="s">
        <v>226</v>
      </c>
      <c r="D6" s="9" t="s">
        <v>257</v>
      </c>
      <c r="E6" s="10" t="s">
        <v>224</v>
      </c>
    </row>
    <row r="7" spans="2:5" ht="19.5" customHeight="1" thickBot="1" x14ac:dyDescent="0.3">
      <c r="B7" s="20" t="s">
        <v>135</v>
      </c>
      <c r="C7" s="42" t="s">
        <v>281</v>
      </c>
      <c r="D7" s="42"/>
      <c r="E7" s="43"/>
    </row>
    <row r="8" spans="2:5" ht="15" x14ac:dyDescent="0.25">
      <c r="B8" s="19">
        <v>1</v>
      </c>
      <c r="C8" s="11" t="s">
        <v>227</v>
      </c>
      <c r="D8" s="12" t="s">
        <v>274</v>
      </c>
      <c r="E8" s="17" t="s">
        <v>275</v>
      </c>
    </row>
    <row r="9" spans="2:5" ht="15" customHeight="1" x14ac:dyDescent="0.25">
      <c r="B9" s="12">
        <v>2</v>
      </c>
      <c r="C9" s="11" t="s">
        <v>227</v>
      </c>
      <c r="D9" s="12"/>
      <c r="E9" s="27" t="s">
        <v>279</v>
      </c>
    </row>
    <row r="10" spans="2:5" ht="15" x14ac:dyDescent="0.25">
      <c r="B10" s="12">
        <v>3</v>
      </c>
      <c r="C10" s="11" t="s">
        <v>227</v>
      </c>
      <c r="D10" s="12"/>
      <c r="E10" s="17" t="s">
        <v>276</v>
      </c>
    </row>
    <row r="11" spans="2:5" ht="15" x14ac:dyDescent="0.25">
      <c r="B11" s="12">
        <v>4</v>
      </c>
      <c r="C11" s="11" t="s">
        <v>227</v>
      </c>
      <c r="D11" s="12"/>
      <c r="E11" s="17" t="s">
        <v>277</v>
      </c>
    </row>
    <row r="12" spans="2:5" ht="15" x14ac:dyDescent="0.25">
      <c r="B12" s="28">
        <v>5</v>
      </c>
      <c r="C12" s="29" t="s">
        <v>227</v>
      </c>
      <c r="D12" s="28"/>
      <c r="E12" s="30" t="s">
        <v>264</v>
      </c>
    </row>
    <row r="13" spans="2:5" ht="15.75" thickBot="1" x14ac:dyDescent="0.3">
      <c r="B13" s="15">
        <v>5</v>
      </c>
      <c r="C13" s="14" t="s">
        <v>227</v>
      </c>
      <c r="D13" s="15" t="s">
        <v>280</v>
      </c>
      <c r="E13" s="18" t="s">
        <v>278</v>
      </c>
    </row>
    <row r="14" spans="2:5" ht="15.75" thickTop="1" x14ac:dyDescent="0.25"/>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3:I15"/>
  <sheetViews>
    <sheetView workbookViewId="0">
      <selection activeCell="K20" sqref="K20"/>
    </sheetView>
  </sheetViews>
  <sheetFormatPr defaultRowHeight="14.4" x14ac:dyDescent="0.3"/>
  <cols>
    <col min="2" max="2" width="19" customWidth="1"/>
    <col min="3" max="3" width="15.5546875" bestFit="1" customWidth="1"/>
    <col min="4" max="4" width="5.21875" customWidth="1"/>
    <col min="5" max="5" width="10.77734375" bestFit="1" customWidth="1"/>
    <col min="7" max="7" width="14.21875" bestFit="1" customWidth="1"/>
  </cols>
  <sheetData>
    <row r="3" spans="2:9" x14ac:dyDescent="0.3">
      <c r="B3" s="38" t="s">
        <v>285</v>
      </c>
      <c r="C3" s="38" t="s">
        <v>284</v>
      </c>
    </row>
    <row r="4" spans="2:9" x14ac:dyDescent="0.3">
      <c r="B4" s="38" t="s">
        <v>283</v>
      </c>
      <c r="C4" t="s">
        <v>138</v>
      </c>
      <c r="D4" t="s">
        <v>142</v>
      </c>
      <c r="G4" s="5" t="s">
        <v>228</v>
      </c>
      <c r="H4" s="39" t="s">
        <v>138</v>
      </c>
      <c r="I4" s="39" t="s">
        <v>142</v>
      </c>
    </row>
    <row r="5" spans="2:9" x14ac:dyDescent="0.3">
      <c r="B5" s="1" t="s">
        <v>159</v>
      </c>
      <c r="C5" s="40">
        <v>1</v>
      </c>
      <c r="D5" s="40">
        <v>2</v>
      </c>
      <c r="G5" s="4" t="s">
        <v>159</v>
      </c>
      <c r="H5">
        <f>COUNTIFS(SPORTSMEN!$K$2:$K$51,$G5,SPORTSMEN!$I$2:$I$51,H$4)</f>
        <v>1</v>
      </c>
      <c r="I5">
        <f>COUNTIFS(SPORTSMEN!$K$2:$K$51,$G5,SPORTSMEN!$I$2:$I$51,I$4)</f>
        <v>2</v>
      </c>
    </row>
    <row r="6" spans="2:9" x14ac:dyDescent="0.3">
      <c r="B6" s="1" t="s">
        <v>151</v>
      </c>
      <c r="C6" s="40">
        <v>6</v>
      </c>
      <c r="D6" s="40">
        <v>2</v>
      </c>
      <c r="G6" s="4" t="s">
        <v>151</v>
      </c>
      <c r="H6">
        <f>COUNTIFS(SPORTSMEN!$K$2:$K$51,$G6,SPORTSMEN!$I$2:$I$51,H$4)</f>
        <v>6</v>
      </c>
      <c r="I6">
        <f>COUNTIFS(SPORTSMEN!$K$2:$K$51,$G6,SPORTSMEN!$I$2:$I$51,I$4)</f>
        <v>2</v>
      </c>
    </row>
    <row r="7" spans="2:9" x14ac:dyDescent="0.3">
      <c r="B7" s="1" t="s">
        <v>153</v>
      </c>
      <c r="C7" s="40">
        <v>1</v>
      </c>
      <c r="D7" s="40">
        <v>2</v>
      </c>
      <c r="G7" s="4" t="s">
        <v>153</v>
      </c>
      <c r="H7">
        <f>COUNTIFS(SPORTSMEN!$K$2:$K$51,$G7,SPORTSMEN!$I$2:$I$51,H$4)</f>
        <v>1</v>
      </c>
      <c r="I7">
        <f>COUNTIFS(SPORTSMEN!$K$2:$K$51,$G7,SPORTSMEN!$I$2:$I$51,I$4)</f>
        <v>2</v>
      </c>
    </row>
    <row r="8" spans="2:9" x14ac:dyDescent="0.3">
      <c r="B8" s="1" t="s">
        <v>144</v>
      </c>
      <c r="C8" s="40"/>
      <c r="D8" s="40">
        <v>2</v>
      </c>
      <c r="G8" s="4" t="s">
        <v>144</v>
      </c>
      <c r="H8">
        <f>COUNTIFS(SPORTSMEN!$K$2:$K$51,$G8,SPORTSMEN!$I$2:$I$51,H$4)</f>
        <v>0</v>
      </c>
      <c r="I8">
        <f>COUNTIFS(SPORTSMEN!$K$2:$K$51,$G8,SPORTSMEN!$I$2:$I$51,I$4)</f>
        <v>2</v>
      </c>
    </row>
    <row r="9" spans="2:9" x14ac:dyDescent="0.3">
      <c r="B9" s="1" t="s">
        <v>156</v>
      </c>
      <c r="C9" s="40">
        <v>3</v>
      </c>
      <c r="D9" s="40">
        <v>6</v>
      </c>
      <c r="G9" s="4" t="s">
        <v>156</v>
      </c>
      <c r="H9">
        <f>COUNTIFS(SPORTSMEN!$K$2:$K$51,$G9,SPORTSMEN!$I$2:$I$51,H$4)</f>
        <v>3</v>
      </c>
      <c r="I9">
        <f>COUNTIFS(SPORTSMEN!$K$2:$K$51,$G9,SPORTSMEN!$I$2:$I$51,I$4)</f>
        <v>6</v>
      </c>
    </row>
    <row r="10" spans="2:9" x14ac:dyDescent="0.3">
      <c r="B10" s="1" t="s">
        <v>149</v>
      </c>
      <c r="C10" s="40">
        <v>1</v>
      </c>
      <c r="D10" s="40">
        <v>4</v>
      </c>
      <c r="G10" s="4" t="s">
        <v>149</v>
      </c>
      <c r="H10">
        <f>COUNTIFS(SPORTSMEN!$K$2:$K$51,$G10,SPORTSMEN!$I$2:$I$51,H$4)</f>
        <v>1</v>
      </c>
      <c r="I10">
        <f>COUNTIFS(SPORTSMEN!$K$2:$K$51,$G10,SPORTSMEN!$I$2:$I$51,I$4)</f>
        <v>4</v>
      </c>
    </row>
    <row r="11" spans="2:9" x14ac:dyDescent="0.3">
      <c r="B11" s="1" t="s">
        <v>164</v>
      </c>
      <c r="C11" s="40">
        <v>2</v>
      </c>
      <c r="D11" s="40">
        <v>1</v>
      </c>
      <c r="G11" s="4" t="s">
        <v>164</v>
      </c>
      <c r="H11">
        <f>COUNTIFS(SPORTSMEN!$K$2:$K$51,$G11,SPORTSMEN!$I$2:$I$51,H$4)</f>
        <v>2</v>
      </c>
      <c r="I11">
        <f>COUNTIFS(SPORTSMEN!$K$2:$K$51,$G11,SPORTSMEN!$I$2:$I$51,I$4)</f>
        <v>1</v>
      </c>
    </row>
    <row r="12" spans="2:9" x14ac:dyDescent="0.3">
      <c r="B12" s="1" t="s">
        <v>161</v>
      </c>
      <c r="C12" s="40">
        <v>3</v>
      </c>
      <c r="D12" s="40"/>
      <c r="G12" s="4" t="s">
        <v>161</v>
      </c>
      <c r="H12">
        <f>COUNTIFS(SPORTSMEN!$K$2:$K$51,$G12,SPORTSMEN!$I$2:$I$51,H$4)</f>
        <v>3</v>
      </c>
      <c r="I12">
        <f>COUNTIFS(SPORTSMEN!$K$2:$K$51,$G12,SPORTSMEN!$I$2:$I$51,I$4)</f>
        <v>0</v>
      </c>
    </row>
    <row r="13" spans="2:9" x14ac:dyDescent="0.3">
      <c r="B13" s="1" t="s">
        <v>167</v>
      </c>
      <c r="C13" s="40">
        <v>1</v>
      </c>
      <c r="D13" s="40">
        <v>1</v>
      </c>
      <c r="G13" s="4" t="s">
        <v>167</v>
      </c>
      <c r="H13">
        <f>COUNTIFS(SPORTSMEN!$K$2:$K$51,$G13,SPORTSMEN!$I$2:$I$51,H$4)</f>
        <v>1</v>
      </c>
      <c r="I13">
        <f>COUNTIFS(SPORTSMEN!$K$2:$K$51,$G13,SPORTSMEN!$I$2:$I$51,I$4)</f>
        <v>1</v>
      </c>
    </row>
    <row r="14" spans="2:9" x14ac:dyDescent="0.3">
      <c r="B14" s="1" t="s">
        <v>146</v>
      </c>
      <c r="C14" s="40">
        <v>3</v>
      </c>
      <c r="D14" s="40">
        <v>2</v>
      </c>
      <c r="G14" s="4" t="s">
        <v>146</v>
      </c>
      <c r="H14">
        <f>COUNTIFS(SPORTSMEN!$K$2:$K$51,$G14,SPORTSMEN!$I$2:$I$51,H$4)</f>
        <v>3</v>
      </c>
      <c r="I14">
        <f>COUNTIFS(SPORTSMEN!$K$2:$K$51,$G14,SPORTSMEN!$I$2:$I$51,I$4)</f>
        <v>2</v>
      </c>
    </row>
    <row r="15" spans="2:9" x14ac:dyDescent="0.3">
      <c r="B15" s="1" t="s">
        <v>140</v>
      </c>
      <c r="C15" s="40">
        <v>4</v>
      </c>
      <c r="D15" s="40">
        <v>3</v>
      </c>
      <c r="G15" s="4" t="s">
        <v>140</v>
      </c>
      <c r="H15">
        <f>COUNTIFS(SPORTSMEN!$K$2:$K$51,$G15,SPORTSMEN!$I$2:$I$51,H$4)</f>
        <v>4</v>
      </c>
      <c r="I15">
        <f>COUNTIFS(SPORTSMEN!$K$2:$K$51,$G15,SPORTSMEN!$I$2:$I$51,I$4)</f>
        <v>3</v>
      </c>
    </row>
  </sheetData>
  <sortState ref="G5:G15">
    <sortCondition ref="G5:G1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6:H24"/>
  <sheetViews>
    <sheetView tabSelected="1" workbookViewId="0">
      <selection activeCell="A6" sqref="A6"/>
    </sheetView>
  </sheetViews>
  <sheetFormatPr defaultRowHeight="14.4" x14ac:dyDescent="0.3"/>
  <cols>
    <col min="1" max="1" width="10.88671875" customWidth="1"/>
    <col min="2" max="2" width="31.88671875" customWidth="1"/>
    <col min="3" max="3" width="30" customWidth="1"/>
    <col min="4" max="4" width="11.33203125" customWidth="1"/>
    <col min="5" max="5" width="10.44140625" customWidth="1"/>
    <col min="6" max="6" width="15.109375" customWidth="1"/>
    <col min="7" max="7" width="12.5546875" customWidth="1"/>
    <col min="8" max="8" width="22.109375" bestFit="1" customWidth="1"/>
  </cols>
  <sheetData>
    <row r="6" spans="1:8" x14ac:dyDescent="0.3">
      <c r="A6" s="38" t="s">
        <v>222</v>
      </c>
      <c r="B6" s="38" t="s">
        <v>221</v>
      </c>
      <c r="C6" s="38" t="s">
        <v>233</v>
      </c>
      <c r="D6" s="38" t="s">
        <v>170</v>
      </c>
      <c r="E6" s="38" t="s">
        <v>4</v>
      </c>
      <c r="F6" s="38" t="s">
        <v>228</v>
      </c>
      <c r="G6" s="38" t="s">
        <v>136</v>
      </c>
      <c r="H6" s="38" t="s">
        <v>172</v>
      </c>
    </row>
    <row r="7" spans="1:8" x14ac:dyDescent="0.3">
      <c r="A7" s="41">
        <v>1</v>
      </c>
      <c r="B7" t="s">
        <v>286</v>
      </c>
      <c r="C7" t="s">
        <v>304</v>
      </c>
      <c r="D7" t="s">
        <v>138</v>
      </c>
      <c r="E7" t="s">
        <v>328</v>
      </c>
      <c r="F7" t="s">
        <v>140</v>
      </c>
      <c r="G7" t="s">
        <v>139</v>
      </c>
      <c r="H7" t="s">
        <v>174</v>
      </c>
    </row>
    <row r="8" spans="1:8" x14ac:dyDescent="0.3">
      <c r="A8" s="41">
        <v>2</v>
      </c>
      <c r="B8" t="s">
        <v>287</v>
      </c>
      <c r="C8" t="s">
        <v>305</v>
      </c>
      <c r="D8" t="s">
        <v>138</v>
      </c>
      <c r="E8" t="s">
        <v>325</v>
      </c>
      <c r="F8" t="s">
        <v>140</v>
      </c>
      <c r="G8" t="s">
        <v>139</v>
      </c>
      <c r="H8" t="s">
        <v>175</v>
      </c>
    </row>
    <row r="9" spans="1:8" x14ac:dyDescent="0.3">
      <c r="A9" s="41">
        <v>5</v>
      </c>
      <c r="B9" t="s">
        <v>288</v>
      </c>
      <c r="C9" t="s">
        <v>306</v>
      </c>
      <c r="D9" t="s">
        <v>142</v>
      </c>
      <c r="E9" t="s">
        <v>330</v>
      </c>
      <c r="F9" t="s">
        <v>140</v>
      </c>
      <c r="G9" t="s">
        <v>139</v>
      </c>
      <c r="H9" t="s">
        <v>179</v>
      </c>
    </row>
    <row r="10" spans="1:8" x14ac:dyDescent="0.3">
      <c r="A10" s="41">
        <v>6</v>
      </c>
      <c r="B10" t="s">
        <v>289</v>
      </c>
      <c r="C10" t="s">
        <v>307</v>
      </c>
      <c r="D10" t="s">
        <v>142</v>
      </c>
      <c r="E10" t="s">
        <v>325</v>
      </c>
      <c r="F10" t="s">
        <v>140</v>
      </c>
      <c r="G10" t="s">
        <v>139</v>
      </c>
      <c r="H10" t="s">
        <v>180</v>
      </c>
    </row>
    <row r="11" spans="1:8" x14ac:dyDescent="0.3">
      <c r="A11" s="41">
        <v>8</v>
      </c>
      <c r="B11" t="s">
        <v>290</v>
      </c>
      <c r="C11" t="s">
        <v>308</v>
      </c>
      <c r="D11" t="s">
        <v>142</v>
      </c>
      <c r="E11" t="s">
        <v>326</v>
      </c>
      <c r="F11" t="s">
        <v>140</v>
      </c>
      <c r="G11" t="s">
        <v>139</v>
      </c>
      <c r="H11" t="s">
        <v>182</v>
      </c>
    </row>
    <row r="12" spans="1:8" x14ac:dyDescent="0.3">
      <c r="A12" s="41">
        <v>9</v>
      </c>
      <c r="B12" t="s">
        <v>291</v>
      </c>
      <c r="C12" t="s">
        <v>309</v>
      </c>
      <c r="D12" t="s">
        <v>138</v>
      </c>
      <c r="E12" t="s">
        <v>329</v>
      </c>
      <c r="F12" t="s">
        <v>146</v>
      </c>
      <c r="G12" t="s">
        <v>139</v>
      </c>
      <c r="H12" t="s">
        <v>183</v>
      </c>
    </row>
    <row r="13" spans="1:8" x14ac:dyDescent="0.3">
      <c r="A13" s="41">
        <v>15</v>
      </c>
      <c r="B13" t="s">
        <v>292</v>
      </c>
      <c r="C13" t="s">
        <v>310</v>
      </c>
      <c r="D13" t="s">
        <v>138</v>
      </c>
      <c r="E13" t="s">
        <v>334</v>
      </c>
      <c r="F13" t="s">
        <v>149</v>
      </c>
      <c r="G13" t="s">
        <v>148</v>
      </c>
      <c r="H13" t="s">
        <v>188</v>
      </c>
    </row>
    <row r="14" spans="1:8" x14ac:dyDescent="0.3">
      <c r="A14" s="41">
        <v>17</v>
      </c>
      <c r="B14" t="s">
        <v>293</v>
      </c>
      <c r="C14" t="s">
        <v>311</v>
      </c>
      <c r="D14" t="s">
        <v>142</v>
      </c>
      <c r="E14" t="s">
        <v>335</v>
      </c>
      <c r="F14" t="s">
        <v>149</v>
      </c>
      <c r="G14" t="s">
        <v>148</v>
      </c>
      <c r="H14" t="s">
        <v>189</v>
      </c>
    </row>
    <row r="15" spans="1:8" x14ac:dyDescent="0.3">
      <c r="A15" s="41">
        <v>19</v>
      </c>
      <c r="B15" t="s">
        <v>294</v>
      </c>
      <c r="C15" t="s">
        <v>312</v>
      </c>
      <c r="D15" t="s">
        <v>138</v>
      </c>
      <c r="E15" t="s">
        <v>323</v>
      </c>
      <c r="F15" t="s">
        <v>151</v>
      </c>
      <c r="G15" t="s">
        <v>139</v>
      </c>
      <c r="H15" t="s">
        <v>191</v>
      </c>
    </row>
    <row r="16" spans="1:8" x14ac:dyDescent="0.3">
      <c r="A16" s="41">
        <v>20</v>
      </c>
      <c r="B16" t="s">
        <v>295</v>
      </c>
      <c r="C16" t="s">
        <v>313</v>
      </c>
      <c r="D16" t="s">
        <v>142</v>
      </c>
      <c r="E16" t="s">
        <v>324</v>
      </c>
      <c r="F16" t="s">
        <v>151</v>
      </c>
      <c r="G16" t="s">
        <v>139</v>
      </c>
      <c r="H16" t="s">
        <v>192</v>
      </c>
    </row>
    <row r="17" spans="1:8" x14ac:dyDescent="0.3">
      <c r="A17" s="41">
        <v>26</v>
      </c>
      <c r="B17" t="s">
        <v>296</v>
      </c>
      <c r="C17" t="s">
        <v>314</v>
      </c>
      <c r="D17" t="s">
        <v>138</v>
      </c>
      <c r="E17" t="s">
        <v>327</v>
      </c>
      <c r="F17" t="s">
        <v>151</v>
      </c>
      <c r="G17" t="s">
        <v>139</v>
      </c>
      <c r="H17" t="s">
        <v>174</v>
      </c>
    </row>
    <row r="18" spans="1:8" x14ac:dyDescent="0.3">
      <c r="A18" s="41">
        <v>27</v>
      </c>
      <c r="B18" t="s">
        <v>297</v>
      </c>
      <c r="C18" t="s">
        <v>315</v>
      </c>
      <c r="D18" t="s">
        <v>142</v>
      </c>
      <c r="E18" t="s">
        <v>330</v>
      </c>
      <c r="F18" t="s">
        <v>153</v>
      </c>
      <c r="G18" t="s">
        <v>148</v>
      </c>
      <c r="H18" t="s">
        <v>197</v>
      </c>
    </row>
    <row r="19" spans="1:8" x14ac:dyDescent="0.3">
      <c r="A19" s="41">
        <v>31</v>
      </c>
      <c r="B19" t="s">
        <v>298</v>
      </c>
      <c r="C19" t="s">
        <v>316</v>
      </c>
      <c r="D19" t="s">
        <v>138</v>
      </c>
      <c r="E19" t="s">
        <v>333</v>
      </c>
      <c r="F19" t="s">
        <v>156</v>
      </c>
      <c r="G19" t="s">
        <v>155</v>
      </c>
      <c r="H19" t="s">
        <v>197</v>
      </c>
    </row>
    <row r="20" spans="1:8" x14ac:dyDescent="0.3">
      <c r="A20" s="41">
        <v>33</v>
      </c>
      <c r="B20" t="s">
        <v>299</v>
      </c>
      <c r="C20" t="s">
        <v>317</v>
      </c>
      <c r="D20" t="s">
        <v>142</v>
      </c>
      <c r="E20" t="s">
        <v>332</v>
      </c>
      <c r="F20" t="s">
        <v>156</v>
      </c>
      <c r="G20" t="s">
        <v>155</v>
      </c>
      <c r="H20" t="s">
        <v>199</v>
      </c>
    </row>
    <row r="21" spans="1:8" x14ac:dyDescent="0.3">
      <c r="A21" s="41">
        <v>38</v>
      </c>
      <c r="B21" t="s">
        <v>300</v>
      </c>
      <c r="C21" t="s">
        <v>318</v>
      </c>
      <c r="D21" t="s">
        <v>142</v>
      </c>
      <c r="E21" t="s">
        <v>331</v>
      </c>
      <c r="F21" t="s">
        <v>156</v>
      </c>
      <c r="G21" t="s">
        <v>155</v>
      </c>
      <c r="H21" t="s">
        <v>174</v>
      </c>
    </row>
    <row r="22" spans="1:8" x14ac:dyDescent="0.3">
      <c r="A22" s="41">
        <v>42</v>
      </c>
      <c r="B22" t="s">
        <v>301</v>
      </c>
      <c r="C22" t="s">
        <v>319</v>
      </c>
      <c r="D22" t="s">
        <v>138</v>
      </c>
      <c r="E22" t="s">
        <v>337</v>
      </c>
      <c r="F22" t="s">
        <v>161</v>
      </c>
      <c r="G22" t="s">
        <v>158</v>
      </c>
      <c r="H22" t="s">
        <v>203</v>
      </c>
    </row>
    <row r="23" spans="1:8" x14ac:dyDescent="0.3">
      <c r="A23" s="41">
        <v>45</v>
      </c>
      <c r="B23" t="s">
        <v>302</v>
      </c>
      <c r="C23" t="s">
        <v>320</v>
      </c>
      <c r="D23" t="s">
        <v>138</v>
      </c>
      <c r="E23" t="s">
        <v>322</v>
      </c>
      <c r="F23" t="s">
        <v>164</v>
      </c>
      <c r="G23" t="s">
        <v>163</v>
      </c>
      <c r="H23" t="s">
        <v>204</v>
      </c>
    </row>
    <row r="24" spans="1:8" x14ac:dyDescent="0.3">
      <c r="A24" s="41">
        <v>50</v>
      </c>
      <c r="B24" t="s">
        <v>303</v>
      </c>
      <c r="C24" t="s">
        <v>321</v>
      </c>
      <c r="D24" t="s">
        <v>142</v>
      </c>
      <c r="E24" t="s">
        <v>336</v>
      </c>
      <c r="F24" t="s">
        <v>144</v>
      </c>
      <c r="G24" t="s">
        <v>143</v>
      </c>
      <c r="H24" t="s">
        <v>206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S51"/>
  <sheetViews>
    <sheetView zoomScale="115" zoomScaleNormal="115" workbookViewId="0">
      <pane xSplit="1" ySplit="1" topLeftCell="I29" activePane="bottomRight" state="frozen"/>
      <selection pane="topRight" activeCell="B1" sqref="B1"/>
      <selection pane="bottomLeft" activeCell="A2" sqref="A2"/>
      <selection pane="bottomRight" activeCell="K1" sqref="K1"/>
    </sheetView>
  </sheetViews>
  <sheetFormatPr defaultRowHeight="14.4" x14ac:dyDescent="0.3"/>
  <cols>
    <col min="1" max="1" width="9.88671875" bestFit="1" customWidth="1"/>
    <col min="2" max="2" width="26" customWidth="1"/>
    <col min="3" max="3" width="8" customWidth="1"/>
    <col min="4" max="4" width="12" customWidth="1"/>
    <col min="5" max="5" width="11.88671875" bestFit="1" customWidth="1"/>
    <col min="6" max="6" width="13.88671875" bestFit="1" customWidth="1"/>
    <col min="7" max="7" width="18.44140625" style="26" customWidth="1"/>
    <col min="8" max="8" width="13.44140625" customWidth="1"/>
    <col min="9" max="9" width="9.109375" customWidth="1"/>
    <col min="10" max="10" width="12.88671875" bestFit="1" customWidth="1"/>
    <col min="11" max="11" width="15.5546875" customWidth="1"/>
    <col min="12" max="12" width="13.88671875" customWidth="1"/>
    <col min="13" max="13" width="26.88671875" customWidth="1"/>
    <col min="14" max="14" width="11.6640625" bestFit="1" customWidth="1"/>
    <col min="15" max="15" width="10.44140625" customWidth="1"/>
    <col min="16" max="16" width="10.33203125" bestFit="1" customWidth="1"/>
    <col min="17" max="17" width="16" customWidth="1"/>
    <col min="18" max="18" width="24" bestFit="1" customWidth="1"/>
    <col min="19" max="19" width="10.88671875" customWidth="1"/>
  </cols>
  <sheetData>
    <row r="1" spans="1:19" s="1" customFormat="1" ht="15" x14ac:dyDescent="0.25">
      <c r="A1" s="5" t="s">
        <v>222</v>
      </c>
      <c r="B1" s="7" t="s">
        <v>221</v>
      </c>
      <c r="C1" s="5" t="s">
        <v>0</v>
      </c>
      <c r="D1" s="5" t="s">
        <v>1</v>
      </c>
      <c r="E1" s="5" t="s">
        <v>2</v>
      </c>
      <c r="F1" s="5" t="s">
        <v>3</v>
      </c>
      <c r="G1" s="24" t="s">
        <v>4</v>
      </c>
      <c r="H1" s="5" t="s">
        <v>5</v>
      </c>
      <c r="I1" s="5" t="s">
        <v>170</v>
      </c>
      <c r="J1" s="5" t="s">
        <v>137</v>
      </c>
      <c r="K1" s="5" t="s">
        <v>228</v>
      </c>
      <c r="L1" s="5" t="s">
        <v>136</v>
      </c>
      <c r="M1" s="5" t="s">
        <v>233</v>
      </c>
      <c r="N1" s="8" t="s">
        <v>246</v>
      </c>
      <c r="O1" s="5" t="s">
        <v>207</v>
      </c>
      <c r="P1" s="5" t="s">
        <v>208</v>
      </c>
      <c r="Q1" s="5" t="s">
        <v>238</v>
      </c>
      <c r="R1" s="5" t="s">
        <v>172</v>
      </c>
      <c r="S1" s="5" t="s">
        <v>239</v>
      </c>
    </row>
    <row r="2" spans="1:19" x14ac:dyDescent="0.3">
      <c r="A2" s="35">
        <v>1</v>
      </c>
      <c r="B2" s="3" t="str">
        <f>UPPER(C2&amp;" "&amp;D2&amp;" "&amp;E2&amp;" "&amp;F2)</f>
        <v>MS. ANNIE  ABBOTT</v>
      </c>
      <c r="C2" s="3" t="s">
        <v>6</v>
      </c>
      <c r="D2" s="3" t="s">
        <v>7</v>
      </c>
      <c r="E2" s="3"/>
      <c r="F2" s="3" t="s">
        <v>8</v>
      </c>
      <c r="G2" s="25">
        <v>35699</v>
      </c>
      <c r="H2" s="3" t="s">
        <v>9</v>
      </c>
      <c r="I2" s="3" t="s">
        <v>138</v>
      </c>
      <c r="J2" s="4" t="s">
        <v>141</v>
      </c>
      <c r="K2" s="4" t="str">
        <f>HLOOKUP(J2,LOCATION!$B$2:$M$3,2,FALSE)</f>
        <v>USA</v>
      </c>
      <c r="L2" s="4" t="str">
        <f>INDEX(LOCATION!$B$1:$M$1, MATCH(J2, LOCATION!$B$2:$M$2, 0))</f>
        <v>English</v>
      </c>
      <c r="M2" s="4" t="str">
        <f>LOWER(TRIM(F2)&amp;"."&amp;TRIM(D2)&amp;IF(L2="English","@xyz.org","@xyz.com"))</f>
        <v>abbott.annie@xyz.org</v>
      </c>
      <c r="N2" s="37">
        <v>94</v>
      </c>
      <c r="O2" s="3" t="s">
        <v>209</v>
      </c>
      <c r="P2" s="3" t="s">
        <v>210</v>
      </c>
      <c r="Q2" s="3" t="str">
        <f>INDEX(SPORT!$A$2:$A$33, MATCH(R2, SPORT!$B$2:$B$33, 0))</f>
        <v>INDOOR</v>
      </c>
      <c r="R2" s="3" t="s">
        <v>174</v>
      </c>
      <c r="S2" s="2">
        <v>80727</v>
      </c>
    </row>
    <row r="3" spans="1:19" x14ac:dyDescent="0.3">
      <c r="A3" s="35">
        <v>2</v>
      </c>
      <c r="B3" s="3" t="str">
        <f t="shared" ref="B3:B51" si="0">UPPER(C3&amp;" "&amp;D3&amp;" "&amp;E3&amp;" "&amp;F3)</f>
        <v>MS. AURELIE  LIESUCHKE</v>
      </c>
      <c r="C3" s="2" t="s">
        <v>6</v>
      </c>
      <c r="D3" s="2" t="s">
        <v>10</v>
      </c>
      <c r="E3" s="2"/>
      <c r="F3" s="2" t="s">
        <v>11</v>
      </c>
      <c r="G3" s="25">
        <v>33641</v>
      </c>
      <c r="H3" s="2" t="s">
        <v>12</v>
      </c>
      <c r="I3" s="2" t="s">
        <v>138</v>
      </c>
      <c r="J3" s="4" t="s">
        <v>141</v>
      </c>
      <c r="K3" s="4" t="str">
        <f>HLOOKUP(J3,LOCATION!$B$2:$M$3,2,FALSE)</f>
        <v>USA</v>
      </c>
      <c r="L3" s="4" t="str">
        <f>INDEX(LOCATION!$B$1:$M$1, MATCH(J3, LOCATION!$B$2:$M$2, 0))</f>
        <v>English</v>
      </c>
      <c r="M3" s="4" t="str">
        <f t="shared" ref="M3:M51" si="1">LOWER(TRIM(F3)&amp;"."&amp;TRIM(D3)&amp;IF(L3="English","@xyz.org","@xyz.com"))</f>
        <v>liesuchke.aurelie@xyz.org</v>
      </c>
      <c r="N3" s="37">
        <v>84.2</v>
      </c>
      <c r="O3" s="2" t="s">
        <v>211</v>
      </c>
      <c r="P3" s="2" t="s">
        <v>212</v>
      </c>
      <c r="Q3" s="3" t="str">
        <f>INDEX(SPORT!$A$2:$A$33, MATCH(R3, SPORT!$B$2:$B$33, 0))</f>
        <v>INDOOR</v>
      </c>
      <c r="R3" s="2" t="s">
        <v>175</v>
      </c>
      <c r="S3" s="2">
        <v>87471</v>
      </c>
    </row>
    <row r="4" spans="1:19" x14ac:dyDescent="0.3">
      <c r="A4" s="35">
        <v>3</v>
      </c>
      <c r="B4" s="3" t="str">
        <f t="shared" si="0"/>
        <v>SR. TOMAS FERREIRA FILHO</v>
      </c>
      <c r="C4" s="2" t="s">
        <v>13</v>
      </c>
      <c r="D4" s="2" t="s">
        <v>14</v>
      </c>
      <c r="E4" s="2" t="s">
        <v>15</v>
      </c>
      <c r="F4" s="2" t="s">
        <v>16</v>
      </c>
      <c r="G4" s="25">
        <v>25394</v>
      </c>
      <c r="H4" s="2" t="s">
        <v>17</v>
      </c>
      <c r="I4" s="2" t="s">
        <v>142</v>
      </c>
      <c r="J4" s="4" t="s">
        <v>145</v>
      </c>
      <c r="K4" s="4" t="str">
        <f>HLOOKUP(J4,LOCATION!$B$2:$M$3,2,FALSE)</f>
        <v>BRAZIL</v>
      </c>
      <c r="L4" s="4" t="str">
        <f>INDEX(LOCATION!$B$1:$M$1, MATCH(J4, LOCATION!$B$2:$M$2, 0))</f>
        <v>Portuguese</v>
      </c>
      <c r="M4" s="4" t="str">
        <f t="shared" si="1"/>
        <v>filho.tomas@xyz.com</v>
      </c>
      <c r="N4" s="37">
        <v>52.9</v>
      </c>
      <c r="O4" s="2" t="s">
        <v>213</v>
      </c>
      <c r="P4" s="2" t="s">
        <v>210</v>
      </c>
      <c r="Q4" s="3" t="str">
        <f>INDEX(SPORT!$A$2:$A$33, MATCH(R4, SPORT!$B$2:$B$33, 0))</f>
        <v>OUTDOOR</v>
      </c>
      <c r="R4" s="2" t="s">
        <v>177</v>
      </c>
      <c r="S4" s="2">
        <v>64724</v>
      </c>
    </row>
    <row r="5" spans="1:19" x14ac:dyDescent="0.3">
      <c r="A5" s="35">
        <v>4</v>
      </c>
      <c r="B5" s="3" t="str">
        <f t="shared" si="0"/>
        <v>MS. DARBY  CRUICKSHANK</v>
      </c>
      <c r="C5" s="2" t="s">
        <v>6</v>
      </c>
      <c r="D5" s="2" t="s">
        <v>18</v>
      </c>
      <c r="E5" s="2"/>
      <c r="F5" s="2" t="s">
        <v>19</v>
      </c>
      <c r="G5" s="25">
        <v>27532</v>
      </c>
      <c r="H5" s="2" t="s">
        <v>20</v>
      </c>
      <c r="I5" s="2" t="s">
        <v>138</v>
      </c>
      <c r="J5" s="4" t="s">
        <v>141</v>
      </c>
      <c r="K5" s="4" t="str">
        <f>HLOOKUP(J5,LOCATION!$B$2:$M$3,2,FALSE)</f>
        <v>USA</v>
      </c>
      <c r="L5" s="4" t="str">
        <f>INDEX(LOCATION!$B$1:$M$1, MATCH(J5, LOCATION!$B$2:$M$2, 0))</f>
        <v>English</v>
      </c>
      <c r="M5" s="4" t="str">
        <f t="shared" si="1"/>
        <v>cruickshank.darby@xyz.org</v>
      </c>
      <c r="N5" s="37">
        <v>48.9</v>
      </c>
      <c r="O5" s="2" t="s">
        <v>209</v>
      </c>
      <c r="P5" s="2" t="s">
        <v>212</v>
      </c>
      <c r="Q5" s="3" t="str">
        <f>INDEX(SPORT!$A$2:$A$33, MATCH(R5, SPORT!$B$2:$B$33, 0))</f>
        <v>OUTDOOR</v>
      </c>
      <c r="R5" s="2" t="s">
        <v>178</v>
      </c>
      <c r="S5" s="2">
        <v>110823</v>
      </c>
    </row>
    <row r="6" spans="1:19" x14ac:dyDescent="0.3">
      <c r="A6" s="35">
        <v>5</v>
      </c>
      <c r="B6" s="3" t="str">
        <f t="shared" si="0"/>
        <v>DR. JAYDON  BORER</v>
      </c>
      <c r="C6" s="2" t="s">
        <v>21</v>
      </c>
      <c r="D6" s="2" t="s">
        <v>22</v>
      </c>
      <c r="E6" s="2"/>
      <c r="F6" s="2" t="s">
        <v>23</v>
      </c>
      <c r="G6" s="25">
        <v>25706</v>
      </c>
      <c r="H6" s="2" t="s">
        <v>20</v>
      </c>
      <c r="I6" s="2" t="s">
        <v>142</v>
      </c>
      <c r="J6" s="4" t="s">
        <v>141</v>
      </c>
      <c r="K6" s="4" t="str">
        <f>HLOOKUP(J6,LOCATION!$B$2:$M$3,2,FALSE)</f>
        <v>USA</v>
      </c>
      <c r="L6" s="4" t="str">
        <f>INDEX(LOCATION!$B$1:$M$1, MATCH(J6, LOCATION!$B$2:$M$2, 0))</f>
        <v>English</v>
      </c>
      <c r="M6" s="4" t="str">
        <f t="shared" si="1"/>
        <v>borer.jaydon@xyz.org</v>
      </c>
      <c r="N6" s="37">
        <v>84.8</v>
      </c>
      <c r="O6" s="2" t="s">
        <v>214</v>
      </c>
      <c r="P6" s="2" t="s">
        <v>215</v>
      </c>
      <c r="Q6" s="3" t="str">
        <f>INDEX(SPORT!$A$2:$A$33, MATCH(R6, SPORT!$B$2:$B$33, 0))</f>
        <v>INDOOR</v>
      </c>
      <c r="R6" s="2" t="s">
        <v>179</v>
      </c>
      <c r="S6" s="2">
        <v>56916</v>
      </c>
    </row>
    <row r="7" spans="1:19" x14ac:dyDescent="0.3">
      <c r="A7" s="35">
        <v>6</v>
      </c>
      <c r="B7" s="3" t="str">
        <f t="shared" si="0"/>
        <v>MR. MORIAH   LYNCH</v>
      </c>
      <c r="C7" s="2" t="s">
        <v>24</v>
      </c>
      <c r="D7" s="2" t="s">
        <v>25</v>
      </c>
      <c r="E7" s="2"/>
      <c r="F7" s="2" t="s">
        <v>26</v>
      </c>
      <c r="G7" s="25">
        <v>33944</v>
      </c>
      <c r="H7" s="2" t="s">
        <v>27</v>
      </c>
      <c r="I7" s="2" t="s">
        <v>142</v>
      </c>
      <c r="J7" s="4" t="s">
        <v>141</v>
      </c>
      <c r="K7" s="4" t="str">
        <f>HLOOKUP(J7,LOCATION!$B$2:$M$3,2,FALSE)</f>
        <v>USA</v>
      </c>
      <c r="L7" s="4" t="str">
        <f>INDEX(LOCATION!$B$1:$M$1, MATCH(J7, LOCATION!$B$2:$M$2, 0))</f>
        <v>English</v>
      </c>
      <c r="M7" s="4" t="str">
        <f t="shared" si="1"/>
        <v>lynch.moriah@xyz.org</v>
      </c>
      <c r="N7" s="37">
        <v>83.2</v>
      </c>
      <c r="O7" s="2" t="s">
        <v>214</v>
      </c>
      <c r="P7" s="2" t="s">
        <v>212</v>
      </c>
      <c r="Q7" s="3" t="str">
        <f>INDEX(SPORT!$A$2:$A$33, MATCH(R7, SPORT!$B$2:$B$33, 0))</f>
        <v>INDOOR</v>
      </c>
      <c r="R7" s="2" t="s">
        <v>180</v>
      </c>
      <c r="S7" s="2">
        <v>51133</v>
      </c>
    </row>
    <row r="8" spans="1:19" x14ac:dyDescent="0.3">
      <c r="A8" s="35">
        <v>7</v>
      </c>
      <c r="B8" s="3" t="str">
        <f t="shared" si="0"/>
        <v>MS. AMIYA  EICHMANN</v>
      </c>
      <c r="C8" s="2" t="s">
        <v>6</v>
      </c>
      <c r="D8" s="2" t="s">
        <v>28</v>
      </c>
      <c r="E8" s="2"/>
      <c r="F8" s="2" t="s">
        <v>29</v>
      </c>
      <c r="G8" s="25">
        <v>36370</v>
      </c>
      <c r="H8" s="2" t="s">
        <v>30</v>
      </c>
      <c r="I8" s="2" t="s">
        <v>138</v>
      </c>
      <c r="J8" s="4" t="s">
        <v>141</v>
      </c>
      <c r="K8" s="4" t="str">
        <f>HLOOKUP(J8,LOCATION!$B$2:$M$3,2,FALSE)</f>
        <v>USA</v>
      </c>
      <c r="L8" s="4" t="str">
        <f>INDEX(LOCATION!$B$1:$M$1, MATCH(J8, LOCATION!$B$2:$M$2, 0))</f>
        <v>English</v>
      </c>
      <c r="M8" s="4" t="str">
        <f t="shared" si="1"/>
        <v>eichmann.amiya@xyz.org</v>
      </c>
      <c r="N8" s="37">
        <v>61.1</v>
      </c>
      <c r="O8" s="2" t="s">
        <v>214</v>
      </c>
      <c r="P8" s="2" t="s">
        <v>215</v>
      </c>
      <c r="Q8" s="3" t="str">
        <f>INDEX(SPORT!$A$2:$A$33, MATCH(R8, SPORT!$B$2:$B$33, 0))</f>
        <v>OUTDOOR</v>
      </c>
      <c r="R8" s="2" t="s">
        <v>181</v>
      </c>
      <c r="S8" s="2">
        <v>65465</v>
      </c>
    </row>
    <row r="9" spans="1:19" x14ac:dyDescent="0.3">
      <c r="A9" s="35">
        <v>8</v>
      </c>
      <c r="B9" s="3" t="str">
        <f t="shared" si="0"/>
        <v>MR. PIERCE  RAU</v>
      </c>
      <c r="C9" s="2" t="s">
        <v>24</v>
      </c>
      <c r="D9" s="2" t="s">
        <v>31</v>
      </c>
      <c r="E9" s="2"/>
      <c r="F9" s="2" t="s">
        <v>32</v>
      </c>
      <c r="G9" s="25">
        <v>23141</v>
      </c>
      <c r="H9" s="2" t="s">
        <v>20</v>
      </c>
      <c r="I9" s="2" t="s">
        <v>142</v>
      </c>
      <c r="J9" s="4" t="s">
        <v>141</v>
      </c>
      <c r="K9" s="4" t="str">
        <f>HLOOKUP(J9,LOCATION!$B$2:$M$3,2,FALSE)</f>
        <v>USA</v>
      </c>
      <c r="L9" s="4" t="str">
        <f>INDEX(LOCATION!$B$1:$M$1, MATCH(J9, LOCATION!$B$2:$M$2, 0))</f>
        <v>English</v>
      </c>
      <c r="M9" s="4" t="str">
        <f t="shared" si="1"/>
        <v>rau.pierce@xyz.org</v>
      </c>
      <c r="N9" s="37">
        <v>105.7</v>
      </c>
      <c r="O9" s="2" t="s">
        <v>213</v>
      </c>
      <c r="P9" s="2" t="s">
        <v>216</v>
      </c>
      <c r="Q9" s="3" t="str">
        <f>INDEX(SPORT!$A$2:$A$33, MATCH(R9, SPORT!$B$2:$B$33, 0))</f>
        <v>INDOOR</v>
      </c>
      <c r="R9" s="2" t="s">
        <v>182</v>
      </c>
      <c r="S9" s="2">
        <v>109885</v>
      </c>
    </row>
    <row r="10" spans="1:19" x14ac:dyDescent="0.3">
      <c r="A10" s="35">
        <v>9</v>
      </c>
      <c r="B10" s="3" t="str">
        <f t="shared" si="0"/>
        <v>MS. AMELIA  STEVENS</v>
      </c>
      <c r="C10" s="2" t="s">
        <v>6</v>
      </c>
      <c r="D10" s="2" t="s">
        <v>33</v>
      </c>
      <c r="E10" s="2"/>
      <c r="F10" s="2" t="s">
        <v>34</v>
      </c>
      <c r="G10" s="25">
        <v>25965</v>
      </c>
      <c r="H10" s="2" t="s">
        <v>12</v>
      </c>
      <c r="I10" s="2" t="s">
        <v>138</v>
      </c>
      <c r="J10" s="4" t="s">
        <v>147</v>
      </c>
      <c r="K10" s="4" t="str">
        <f>HLOOKUP(J10,LOCATION!$B$2:$M$3,2,FALSE)</f>
        <v>UK</v>
      </c>
      <c r="L10" s="4" t="str">
        <f>INDEX(LOCATION!$B$1:$M$1, MATCH(J10, LOCATION!$B$2:$M$2, 0))</f>
        <v>English</v>
      </c>
      <c r="M10" s="4" t="str">
        <f t="shared" si="1"/>
        <v>stevens.amelia@xyz.org</v>
      </c>
      <c r="N10" s="37">
        <v>65.3</v>
      </c>
      <c r="O10" s="2" t="s">
        <v>214</v>
      </c>
      <c r="P10" s="2" t="s">
        <v>216</v>
      </c>
      <c r="Q10" s="3" t="str">
        <f>INDEX(SPORT!$A$2:$A$33, MATCH(R10, SPORT!$B$2:$B$33, 0))</f>
        <v>INDOOR</v>
      </c>
      <c r="R10" s="2" t="s">
        <v>183</v>
      </c>
      <c r="S10" s="2">
        <v>60061</v>
      </c>
    </row>
    <row r="11" spans="1:19" x14ac:dyDescent="0.3">
      <c r="A11" s="35">
        <v>10</v>
      </c>
      <c r="B11" s="3" t="str">
        <f t="shared" si="0"/>
        <v>MR. TOBY  SIMPSON</v>
      </c>
      <c r="C11" s="2" t="s">
        <v>24</v>
      </c>
      <c r="D11" s="2" t="s">
        <v>35</v>
      </c>
      <c r="E11" s="2"/>
      <c r="F11" s="2" t="s">
        <v>36</v>
      </c>
      <c r="G11" s="25">
        <v>23732</v>
      </c>
      <c r="H11" s="2" t="s">
        <v>27</v>
      </c>
      <c r="I11" s="2" t="s">
        <v>142</v>
      </c>
      <c r="J11" s="4" t="s">
        <v>147</v>
      </c>
      <c r="K11" s="4" t="str">
        <f>HLOOKUP(J11,LOCATION!$B$2:$M$3,2,FALSE)</f>
        <v>UK</v>
      </c>
      <c r="L11" s="4" t="str">
        <f>INDEX(LOCATION!$B$1:$M$1, MATCH(J11, LOCATION!$B$2:$M$2, 0))</f>
        <v>English</v>
      </c>
      <c r="M11" s="4" t="str">
        <f t="shared" si="1"/>
        <v>simpson.toby@xyz.org</v>
      </c>
      <c r="N11" s="37">
        <v>62.9</v>
      </c>
      <c r="O11" s="2" t="s">
        <v>213</v>
      </c>
      <c r="P11" s="2" t="s">
        <v>217</v>
      </c>
      <c r="Q11" s="3" t="str">
        <f>INDEX(SPORT!$A$2:$A$33, MATCH(R11, SPORT!$B$2:$B$33, 0))</f>
        <v>OUTDOOR</v>
      </c>
      <c r="R11" s="2" t="s">
        <v>181</v>
      </c>
      <c r="S11" s="2">
        <v>32758</v>
      </c>
    </row>
    <row r="12" spans="1:19" x14ac:dyDescent="0.3">
      <c r="A12" s="35">
        <v>11</v>
      </c>
      <c r="B12" s="3" t="str">
        <f t="shared" si="0"/>
        <v>SIR ETHAN  MURPHY</v>
      </c>
      <c r="C12" s="2" t="s">
        <v>37</v>
      </c>
      <c r="D12" s="2" t="s">
        <v>38</v>
      </c>
      <c r="E12" s="2"/>
      <c r="F12" s="2" t="s">
        <v>39</v>
      </c>
      <c r="G12" s="25">
        <v>31733</v>
      </c>
      <c r="H12" s="2" t="s">
        <v>40</v>
      </c>
      <c r="I12" s="2" t="s">
        <v>142</v>
      </c>
      <c r="J12" s="4" t="s">
        <v>147</v>
      </c>
      <c r="K12" s="4" t="str">
        <f>HLOOKUP(J12,LOCATION!$B$2:$M$3,2,FALSE)</f>
        <v>UK</v>
      </c>
      <c r="L12" s="4" t="str">
        <f>INDEX(LOCATION!$B$1:$M$1, MATCH(J12, LOCATION!$B$2:$M$2, 0))</f>
        <v>English</v>
      </c>
      <c r="M12" s="4" t="str">
        <f t="shared" si="1"/>
        <v>murphy.ethan@xyz.org</v>
      </c>
      <c r="N12" s="37">
        <v>104.3</v>
      </c>
      <c r="O12" s="2" t="s">
        <v>211</v>
      </c>
      <c r="P12" s="2" t="s">
        <v>217</v>
      </c>
      <c r="Q12" s="3" t="str">
        <f>INDEX(SPORT!$A$2:$A$33, MATCH(R12, SPORT!$B$2:$B$33, 0))</f>
        <v>OUTDOOR</v>
      </c>
      <c r="R12" s="2" t="s">
        <v>184</v>
      </c>
      <c r="S12" s="2">
        <v>99613</v>
      </c>
    </row>
    <row r="13" spans="1:19" x14ac:dyDescent="0.3">
      <c r="A13" s="35">
        <v>12</v>
      </c>
      <c r="B13" s="3" t="str">
        <f t="shared" si="0"/>
        <v>MRS. ASHLEY  WOOD</v>
      </c>
      <c r="C13" s="2" t="s">
        <v>41</v>
      </c>
      <c r="D13" s="2" t="s">
        <v>42</v>
      </c>
      <c r="E13" s="2"/>
      <c r="F13" s="2" t="s">
        <v>43</v>
      </c>
      <c r="G13" s="25">
        <v>28412</v>
      </c>
      <c r="H13" s="2" t="s">
        <v>9</v>
      </c>
      <c r="I13" s="2" t="s">
        <v>138</v>
      </c>
      <c r="J13" s="4" t="s">
        <v>147</v>
      </c>
      <c r="K13" s="4" t="str">
        <f>HLOOKUP(J13,LOCATION!$B$2:$M$3,2,FALSE)</f>
        <v>UK</v>
      </c>
      <c r="L13" s="4" t="str">
        <f>INDEX(LOCATION!$B$1:$M$1, MATCH(J13, LOCATION!$B$2:$M$2, 0))</f>
        <v>English</v>
      </c>
      <c r="M13" s="4" t="str">
        <f t="shared" si="1"/>
        <v>wood.ashley@xyz.org</v>
      </c>
      <c r="N13" s="37">
        <v>100.7</v>
      </c>
      <c r="O13" s="2" t="s">
        <v>211</v>
      </c>
      <c r="P13" s="2" t="s">
        <v>217</v>
      </c>
      <c r="Q13" s="3" t="str">
        <f>INDEX(SPORT!$A$2:$A$33, MATCH(R13, SPORT!$B$2:$B$33, 0))</f>
        <v>OUTDOOR</v>
      </c>
      <c r="R13" s="2" t="s">
        <v>185</v>
      </c>
      <c r="S13" s="2">
        <v>56595</v>
      </c>
    </row>
    <row r="14" spans="1:19" x14ac:dyDescent="0.3">
      <c r="A14" s="35">
        <v>13</v>
      </c>
      <c r="B14" s="3" t="str">
        <f t="shared" si="0"/>
        <v>MS. MEGAN  SCOTT</v>
      </c>
      <c r="C14" s="2" t="s">
        <v>6</v>
      </c>
      <c r="D14" s="2" t="s">
        <v>44</v>
      </c>
      <c r="E14" s="2"/>
      <c r="F14" s="2" t="s">
        <v>45</v>
      </c>
      <c r="G14" s="25">
        <v>28168</v>
      </c>
      <c r="H14" s="2" t="s">
        <v>12</v>
      </c>
      <c r="I14" s="2" t="s">
        <v>138</v>
      </c>
      <c r="J14" s="4" t="s">
        <v>147</v>
      </c>
      <c r="K14" s="4" t="str">
        <f>HLOOKUP(J14,LOCATION!$B$2:$M$3,2,FALSE)</f>
        <v>UK</v>
      </c>
      <c r="L14" s="4" t="str">
        <f>INDEX(LOCATION!$B$1:$M$1, MATCH(J14, LOCATION!$B$2:$M$2, 0))</f>
        <v>English</v>
      </c>
      <c r="M14" s="4" t="str">
        <f t="shared" si="1"/>
        <v>scott.megan@xyz.org</v>
      </c>
      <c r="N14" s="37">
        <v>70.900000000000006</v>
      </c>
      <c r="O14" s="2" t="s">
        <v>209</v>
      </c>
      <c r="P14" s="2" t="s">
        <v>210</v>
      </c>
      <c r="Q14" s="3" t="str">
        <f>INDEX(SPORT!$A$2:$A$33, MATCH(R14, SPORT!$B$2:$B$33, 0))</f>
        <v>OUTDOOR</v>
      </c>
      <c r="R14" s="2" t="s">
        <v>186</v>
      </c>
      <c r="S14" s="2">
        <v>117408</v>
      </c>
    </row>
    <row r="15" spans="1:19" x14ac:dyDescent="0.3">
      <c r="A15" s="35">
        <v>14</v>
      </c>
      <c r="B15" s="3" t="str">
        <f t="shared" si="0"/>
        <v>HR. HELMUT  WEINHAE</v>
      </c>
      <c r="C15" s="2" t="s">
        <v>46</v>
      </c>
      <c r="D15" s="2" t="s">
        <v>47</v>
      </c>
      <c r="E15" s="2"/>
      <c r="F15" s="2" t="s">
        <v>48</v>
      </c>
      <c r="G15" s="25">
        <v>21788</v>
      </c>
      <c r="H15" s="2" t="s">
        <v>49</v>
      </c>
      <c r="I15" s="2" t="s">
        <v>142</v>
      </c>
      <c r="J15" s="4" t="s">
        <v>150</v>
      </c>
      <c r="K15" s="4" t="str">
        <f>HLOOKUP(J15,LOCATION!$B$2:$M$3,2,FALSE)</f>
        <v>GERMANY</v>
      </c>
      <c r="L15" s="4" t="str">
        <f>INDEX(LOCATION!$B$1:$M$1, MATCH(J15, LOCATION!$B$2:$M$2, 0))</f>
        <v>German</v>
      </c>
      <c r="M15" s="4" t="str">
        <f t="shared" si="1"/>
        <v>weinhae.helmut@xyz.com</v>
      </c>
      <c r="N15" s="37">
        <v>68.3</v>
      </c>
      <c r="O15" s="2" t="s">
        <v>218</v>
      </c>
      <c r="P15" s="2" t="s">
        <v>216</v>
      </c>
      <c r="Q15" s="3" t="str">
        <f>INDEX(SPORT!$A$2:$A$33, MATCH(R15, SPORT!$B$2:$B$33, 0))</f>
        <v>OUTDOOR</v>
      </c>
      <c r="R15" s="2" t="s">
        <v>187</v>
      </c>
      <c r="S15" s="2">
        <v>64862</v>
      </c>
    </row>
    <row r="16" spans="1:19" x14ac:dyDescent="0.3">
      <c r="A16" s="35">
        <v>15</v>
      </c>
      <c r="B16" s="3" t="str">
        <f t="shared" si="0"/>
        <v>PROF. MILENA  SCHOTIN</v>
      </c>
      <c r="C16" s="2" t="s">
        <v>50</v>
      </c>
      <c r="D16" s="2" t="s">
        <v>51</v>
      </c>
      <c r="E16" s="2"/>
      <c r="F16" s="2" t="s">
        <v>52</v>
      </c>
      <c r="G16" s="25">
        <v>23804</v>
      </c>
      <c r="H16" s="2" t="s">
        <v>53</v>
      </c>
      <c r="I16" s="2" t="s">
        <v>138</v>
      </c>
      <c r="J16" s="4" t="s">
        <v>150</v>
      </c>
      <c r="K16" s="4" t="str">
        <f>HLOOKUP(J16,LOCATION!$B$2:$M$3,2,FALSE)</f>
        <v>GERMANY</v>
      </c>
      <c r="L16" s="4" t="str">
        <f>INDEX(LOCATION!$B$1:$M$1, MATCH(J16, LOCATION!$B$2:$M$2, 0))</f>
        <v>German</v>
      </c>
      <c r="M16" s="4" t="str">
        <f t="shared" si="1"/>
        <v>schotin.milena@xyz.com</v>
      </c>
      <c r="N16" s="37">
        <v>105.3</v>
      </c>
      <c r="O16" s="2" t="s">
        <v>218</v>
      </c>
      <c r="P16" s="2" t="s">
        <v>217</v>
      </c>
      <c r="Q16" s="3" t="str">
        <f>INDEX(SPORT!$A$2:$A$33, MATCH(R16, SPORT!$B$2:$B$33, 0))</f>
        <v>INDOOR</v>
      </c>
      <c r="R16" s="2" t="s">
        <v>188</v>
      </c>
      <c r="S16" s="2">
        <v>10241</v>
      </c>
    </row>
    <row r="17" spans="1:19" x14ac:dyDescent="0.3">
      <c r="A17" s="35">
        <v>16</v>
      </c>
      <c r="B17" s="3" t="str">
        <f t="shared" si="0"/>
        <v>HR. LOTHAR  BIRNBAUM</v>
      </c>
      <c r="C17" s="2" t="s">
        <v>46</v>
      </c>
      <c r="D17" s="2" t="s">
        <v>54</v>
      </c>
      <c r="E17" s="2"/>
      <c r="F17" s="2" t="s">
        <v>55</v>
      </c>
      <c r="G17" s="25">
        <v>25405</v>
      </c>
      <c r="H17" s="2" t="s">
        <v>17</v>
      </c>
      <c r="I17" s="2" t="s">
        <v>142</v>
      </c>
      <c r="J17" s="4" t="s">
        <v>150</v>
      </c>
      <c r="K17" s="4" t="str">
        <f>HLOOKUP(J17,LOCATION!$B$2:$M$3,2,FALSE)</f>
        <v>GERMANY</v>
      </c>
      <c r="L17" s="4" t="str">
        <f>INDEX(LOCATION!$B$1:$M$1, MATCH(J17, LOCATION!$B$2:$M$2, 0))</f>
        <v>German</v>
      </c>
      <c r="M17" s="4" t="str">
        <f t="shared" si="1"/>
        <v>birnbaum.lothar@xyz.com</v>
      </c>
      <c r="N17" s="37">
        <v>48.6</v>
      </c>
      <c r="O17" s="2" t="s">
        <v>214</v>
      </c>
      <c r="P17" s="2" t="s">
        <v>217</v>
      </c>
      <c r="Q17" s="3" t="str">
        <f>INDEX(SPORT!$A$2:$A$33, MATCH(R17, SPORT!$B$2:$B$33, 0))</f>
        <v>OUTDOOR</v>
      </c>
      <c r="R17" s="2" t="s">
        <v>178</v>
      </c>
      <c r="S17" s="2">
        <v>88762</v>
      </c>
    </row>
    <row r="18" spans="1:19" x14ac:dyDescent="0.3">
      <c r="A18" s="35">
        <v>17</v>
      </c>
      <c r="B18" s="3" t="str">
        <f t="shared" si="0"/>
        <v>HR. PIETRO  STOLZE</v>
      </c>
      <c r="C18" s="2" t="s">
        <v>46</v>
      </c>
      <c r="D18" s="2" t="s">
        <v>56</v>
      </c>
      <c r="E18" s="2"/>
      <c r="F18" s="2" t="s">
        <v>57</v>
      </c>
      <c r="G18" s="25">
        <v>26582</v>
      </c>
      <c r="H18" s="2" t="s">
        <v>9</v>
      </c>
      <c r="I18" s="2" t="s">
        <v>142</v>
      </c>
      <c r="J18" s="4" t="s">
        <v>150</v>
      </c>
      <c r="K18" s="4" t="str">
        <f>HLOOKUP(J18,LOCATION!$B$2:$M$3,2,FALSE)</f>
        <v>GERMANY</v>
      </c>
      <c r="L18" s="4" t="str">
        <f>INDEX(LOCATION!$B$1:$M$1, MATCH(J18, LOCATION!$B$2:$M$2, 0))</f>
        <v>German</v>
      </c>
      <c r="M18" s="4" t="str">
        <f t="shared" si="1"/>
        <v>stolze.pietro@xyz.com</v>
      </c>
      <c r="N18" s="37">
        <v>105.9</v>
      </c>
      <c r="O18" s="2" t="s">
        <v>214</v>
      </c>
      <c r="P18" s="2" t="s">
        <v>210</v>
      </c>
      <c r="Q18" s="3" t="str">
        <f>INDEX(SPORT!$A$2:$A$33, MATCH(R18, SPORT!$B$2:$B$33, 0))</f>
        <v>INDOOR</v>
      </c>
      <c r="R18" s="2" t="s">
        <v>189</v>
      </c>
      <c r="S18" s="2">
        <v>80757</v>
      </c>
    </row>
    <row r="19" spans="1:19" x14ac:dyDescent="0.3">
      <c r="A19" s="35">
        <v>18</v>
      </c>
      <c r="B19" s="3" t="str">
        <f t="shared" si="0"/>
        <v>HR. RICHARD   TLUSTEK</v>
      </c>
      <c r="C19" s="2" t="s">
        <v>46</v>
      </c>
      <c r="D19" s="2" t="s">
        <v>58</v>
      </c>
      <c r="E19" s="2"/>
      <c r="F19" s="2" t="s">
        <v>59</v>
      </c>
      <c r="G19" s="25">
        <v>21793</v>
      </c>
      <c r="H19" s="2" t="s">
        <v>49</v>
      </c>
      <c r="I19" s="2" t="s">
        <v>142</v>
      </c>
      <c r="J19" s="4" t="s">
        <v>150</v>
      </c>
      <c r="K19" s="4" t="str">
        <f>HLOOKUP(J19,LOCATION!$B$2:$M$3,2,FALSE)</f>
        <v>GERMANY</v>
      </c>
      <c r="L19" s="4" t="str">
        <f>INDEX(LOCATION!$B$1:$M$1, MATCH(J19, LOCATION!$B$2:$M$2, 0))</f>
        <v>German</v>
      </c>
      <c r="M19" s="4" t="str">
        <f t="shared" si="1"/>
        <v>tlustek.richard@xyz.com</v>
      </c>
      <c r="N19" s="37">
        <v>71.099999999999994</v>
      </c>
      <c r="O19" s="2" t="s">
        <v>214</v>
      </c>
      <c r="P19" s="2" t="s">
        <v>210</v>
      </c>
      <c r="Q19" s="3" t="str">
        <f>INDEX(SPORT!$A$2:$A$33, MATCH(R19, SPORT!$B$2:$B$33, 0))</f>
        <v>OUTDOOR</v>
      </c>
      <c r="R19" s="2" t="s">
        <v>190</v>
      </c>
      <c r="S19" s="2">
        <v>88794</v>
      </c>
    </row>
    <row r="20" spans="1:19" x14ac:dyDescent="0.3">
      <c r="A20" s="35">
        <v>19</v>
      </c>
      <c r="B20" s="3" t="str">
        <f t="shared" si="0"/>
        <v>DR. EARNESTINE  RAYNOR</v>
      </c>
      <c r="C20" s="2" t="s">
        <v>21</v>
      </c>
      <c r="D20" s="2" t="s">
        <v>60</v>
      </c>
      <c r="E20" s="2"/>
      <c r="F20" s="2" t="s">
        <v>61</v>
      </c>
      <c r="G20" s="25">
        <v>28262</v>
      </c>
      <c r="H20" s="2" t="s">
        <v>20</v>
      </c>
      <c r="I20" s="2" t="s">
        <v>138</v>
      </c>
      <c r="J20" s="4" t="s">
        <v>152</v>
      </c>
      <c r="K20" s="4" t="str">
        <f>HLOOKUP(J20,LOCATION!$B$2:$M$3,2,FALSE)</f>
        <v>AUSTRALIA</v>
      </c>
      <c r="L20" s="4" t="str">
        <f>INDEX(LOCATION!$B$1:$M$1, MATCH(J20, LOCATION!$B$2:$M$2, 0))</f>
        <v>English</v>
      </c>
      <c r="M20" s="4" t="str">
        <f t="shared" si="1"/>
        <v>raynor.earnestine@xyz.org</v>
      </c>
      <c r="N20" s="37">
        <v>70.3</v>
      </c>
      <c r="O20" s="2" t="s">
        <v>214</v>
      </c>
      <c r="P20" s="2" t="s">
        <v>216</v>
      </c>
      <c r="Q20" s="3" t="str">
        <f>INDEX(SPORT!$A$2:$A$33, MATCH(R20, SPORT!$B$2:$B$33, 0))</f>
        <v>INDOOR</v>
      </c>
      <c r="R20" s="2" t="s">
        <v>191</v>
      </c>
      <c r="S20" s="2">
        <v>63526</v>
      </c>
    </row>
    <row r="21" spans="1:19" x14ac:dyDescent="0.3">
      <c r="A21" s="35">
        <v>20</v>
      </c>
      <c r="B21" s="3" t="str">
        <f t="shared" si="0"/>
        <v>MR. JASON  GAYLORD</v>
      </c>
      <c r="C21" s="2" t="s">
        <v>24</v>
      </c>
      <c r="D21" s="2" t="s">
        <v>62</v>
      </c>
      <c r="E21" s="2"/>
      <c r="F21" s="2" t="s">
        <v>63</v>
      </c>
      <c r="G21" s="25">
        <v>27767</v>
      </c>
      <c r="H21" s="2" t="s">
        <v>64</v>
      </c>
      <c r="I21" s="2" t="s">
        <v>142</v>
      </c>
      <c r="J21" s="4" t="s">
        <v>152</v>
      </c>
      <c r="K21" s="4" t="str">
        <f>HLOOKUP(J21,LOCATION!$B$2:$M$3,2,FALSE)</f>
        <v>AUSTRALIA</v>
      </c>
      <c r="L21" s="4" t="str">
        <f>INDEX(LOCATION!$B$1:$M$1, MATCH(J21, LOCATION!$B$2:$M$2, 0))</f>
        <v>English</v>
      </c>
      <c r="M21" s="4" t="str">
        <f t="shared" si="1"/>
        <v>gaylord.jason@xyz.org</v>
      </c>
      <c r="N21" s="37">
        <v>54.7</v>
      </c>
      <c r="O21" s="2" t="s">
        <v>211</v>
      </c>
      <c r="P21" s="2" t="s">
        <v>212</v>
      </c>
      <c r="Q21" s="3" t="str">
        <f>INDEX(SPORT!$A$2:$A$33, MATCH(R21, SPORT!$B$2:$B$33, 0))</f>
        <v>INDOOR</v>
      </c>
      <c r="R21" s="2" t="s">
        <v>192</v>
      </c>
      <c r="S21" s="2">
        <v>46352</v>
      </c>
    </row>
    <row r="22" spans="1:19" x14ac:dyDescent="0.3">
      <c r="A22" s="35">
        <v>21</v>
      </c>
      <c r="B22" s="3" t="str">
        <f t="shared" si="0"/>
        <v>MR. KENDRICK  SAUER</v>
      </c>
      <c r="C22" s="2" t="s">
        <v>24</v>
      </c>
      <c r="D22" s="2" t="s">
        <v>65</v>
      </c>
      <c r="E22" s="2"/>
      <c r="F22" s="2" t="s">
        <v>66</v>
      </c>
      <c r="G22" s="25">
        <v>35268</v>
      </c>
      <c r="H22" s="2" t="s">
        <v>17</v>
      </c>
      <c r="I22" s="2" t="s">
        <v>142</v>
      </c>
      <c r="J22" s="4" t="s">
        <v>152</v>
      </c>
      <c r="K22" s="4" t="str">
        <f>HLOOKUP(J22,LOCATION!$B$2:$M$3,2,FALSE)</f>
        <v>AUSTRALIA</v>
      </c>
      <c r="L22" s="4" t="str">
        <f>INDEX(LOCATION!$B$1:$M$1, MATCH(J22, LOCATION!$B$2:$M$2, 0))</f>
        <v>English</v>
      </c>
      <c r="M22" s="4" t="str">
        <f t="shared" si="1"/>
        <v>sauer.kendrick@xyz.org</v>
      </c>
      <c r="N22" s="37">
        <v>100.9</v>
      </c>
      <c r="O22" s="2" t="s">
        <v>214</v>
      </c>
      <c r="P22" s="2" t="s">
        <v>215</v>
      </c>
      <c r="Q22" s="3" t="str">
        <f>INDEX(SPORT!$A$2:$A$33, MATCH(R22, SPORT!$B$2:$B$33, 0))</f>
        <v>OUTDOOR</v>
      </c>
      <c r="R22" s="2" t="s">
        <v>193</v>
      </c>
      <c r="S22" s="2">
        <v>106808</v>
      </c>
    </row>
    <row r="23" spans="1:19" x14ac:dyDescent="0.3">
      <c r="A23" s="35">
        <v>22</v>
      </c>
      <c r="B23" s="3" t="str">
        <f t="shared" si="0"/>
        <v>DR. ANNABELL  OLSON</v>
      </c>
      <c r="C23" s="2" t="s">
        <v>21</v>
      </c>
      <c r="D23" s="2" t="s">
        <v>67</v>
      </c>
      <c r="E23" s="2"/>
      <c r="F23" s="2" t="s">
        <v>68</v>
      </c>
      <c r="G23" s="25">
        <v>23483</v>
      </c>
      <c r="H23" s="2" t="s">
        <v>69</v>
      </c>
      <c r="I23" s="2" t="s">
        <v>138</v>
      </c>
      <c r="J23" s="4" t="s">
        <v>152</v>
      </c>
      <c r="K23" s="4" t="str">
        <f>HLOOKUP(J23,LOCATION!$B$2:$M$3,2,FALSE)</f>
        <v>AUSTRALIA</v>
      </c>
      <c r="L23" s="4" t="str">
        <f>INDEX(LOCATION!$B$1:$M$1, MATCH(J23, LOCATION!$B$2:$M$2, 0))</f>
        <v>English</v>
      </c>
      <c r="M23" s="4" t="str">
        <f t="shared" si="1"/>
        <v>olson.annabell@xyz.org</v>
      </c>
      <c r="N23" s="37">
        <v>84.3</v>
      </c>
      <c r="O23" s="2" t="s">
        <v>209</v>
      </c>
      <c r="P23" s="2" t="s">
        <v>216</v>
      </c>
      <c r="Q23" s="3" t="str">
        <f>INDEX(SPORT!$A$2:$A$33, MATCH(R23, SPORT!$B$2:$B$33, 0))</f>
        <v>OUTDOOR</v>
      </c>
      <c r="R23" s="2" t="s">
        <v>194</v>
      </c>
      <c r="S23" s="2">
        <v>96468</v>
      </c>
    </row>
    <row r="24" spans="1:19" x14ac:dyDescent="0.3">
      <c r="A24" s="35">
        <v>23</v>
      </c>
      <c r="B24" s="3" t="str">
        <f t="shared" si="0"/>
        <v>DR. JENA  UPTON</v>
      </c>
      <c r="C24" s="2" t="s">
        <v>21</v>
      </c>
      <c r="D24" s="2" t="s">
        <v>70</v>
      </c>
      <c r="E24" s="2"/>
      <c r="F24" s="2" t="s">
        <v>71</v>
      </c>
      <c r="G24" s="36">
        <v>20437</v>
      </c>
      <c r="H24" s="2" t="s">
        <v>27</v>
      </c>
      <c r="I24" s="2" t="s">
        <v>138</v>
      </c>
      <c r="J24" s="4" t="s">
        <v>152</v>
      </c>
      <c r="K24" s="4" t="str">
        <f>HLOOKUP(J24,LOCATION!$B$2:$M$3,2,FALSE)</f>
        <v>AUSTRALIA</v>
      </c>
      <c r="L24" s="4" t="str">
        <f>INDEX(LOCATION!$B$1:$M$1, MATCH(J24, LOCATION!$B$2:$M$2, 0))</f>
        <v>English</v>
      </c>
      <c r="M24" s="4" t="str">
        <f t="shared" si="1"/>
        <v>upton.jena@xyz.org</v>
      </c>
      <c r="N24" s="37">
        <v>66.8</v>
      </c>
      <c r="O24" s="2" t="s">
        <v>214</v>
      </c>
      <c r="P24" s="2" t="s">
        <v>217</v>
      </c>
      <c r="Q24" s="3" t="str">
        <f>INDEX(SPORT!$A$2:$A$33, MATCH(R24, SPORT!$B$2:$B$33, 0))</f>
        <v>OUTDOOR</v>
      </c>
      <c r="R24" s="2" t="s">
        <v>195</v>
      </c>
      <c r="S24" s="2">
        <v>16526</v>
      </c>
    </row>
    <row r="25" spans="1:19" x14ac:dyDescent="0.3">
      <c r="A25" s="35">
        <v>24</v>
      </c>
      <c r="B25" s="3" t="str">
        <f t="shared" si="0"/>
        <v>DR. SHANNY  BINS</v>
      </c>
      <c r="C25" s="2" t="s">
        <v>21</v>
      </c>
      <c r="D25" s="2" t="s">
        <v>72</v>
      </c>
      <c r="E25" s="2"/>
      <c r="F25" s="2" t="s">
        <v>73</v>
      </c>
      <c r="G25" s="36">
        <v>36400</v>
      </c>
      <c r="H25" s="2" t="s">
        <v>49</v>
      </c>
      <c r="I25" s="2" t="s">
        <v>138</v>
      </c>
      <c r="J25" s="4" t="s">
        <v>152</v>
      </c>
      <c r="K25" s="4" t="str">
        <f>HLOOKUP(J25,LOCATION!$B$2:$M$3,2,FALSE)</f>
        <v>AUSTRALIA</v>
      </c>
      <c r="L25" s="4" t="str">
        <f>INDEX(LOCATION!$B$1:$M$1, MATCH(J25, LOCATION!$B$2:$M$2, 0))</f>
        <v>English</v>
      </c>
      <c r="M25" s="4" t="str">
        <f t="shared" si="1"/>
        <v>bins.shanny@xyz.org</v>
      </c>
      <c r="N25" s="37">
        <v>59.4</v>
      </c>
      <c r="O25" s="2" t="s">
        <v>213</v>
      </c>
      <c r="P25" s="2" t="s">
        <v>215</v>
      </c>
      <c r="Q25" s="3" t="str">
        <f>INDEX(SPORT!$A$2:$A$33, MATCH(R25, SPORT!$B$2:$B$33, 0))</f>
        <v>OUTDOOR</v>
      </c>
      <c r="R25" s="2" t="s">
        <v>196</v>
      </c>
      <c r="S25" s="2">
        <v>21891</v>
      </c>
    </row>
    <row r="26" spans="1:19" x14ac:dyDescent="0.3">
      <c r="A26" s="35">
        <v>25</v>
      </c>
      <c r="B26" s="3" t="str">
        <f t="shared" si="0"/>
        <v>DR. TIA  ABSHIRE</v>
      </c>
      <c r="C26" s="2" t="s">
        <v>21</v>
      </c>
      <c r="D26" s="2" t="s">
        <v>74</v>
      </c>
      <c r="E26" s="2"/>
      <c r="F26" s="2" t="s">
        <v>75</v>
      </c>
      <c r="G26" s="36">
        <v>24309</v>
      </c>
      <c r="H26" s="2" t="s">
        <v>17</v>
      </c>
      <c r="I26" s="2" t="s">
        <v>138</v>
      </c>
      <c r="J26" s="4" t="s">
        <v>152</v>
      </c>
      <c r="K26" s="4" t="str">
        <f>HLOOKUP(J26,LOCATION!$B$2:$M$3,2,FALSE)</f>
        <v>AUSTRALIA</v>
      </c>
      <c r="L26" s="4" t="str">
        <f>INDEX(LOCATION!$B$1:$M$1, MATCH(J26, LOCATION!$B$2:$M$2, 0))</f>
        <v>English</v>
      </c>
      <c r="M26" s="4" t="str">
        <f t="shared" si="1"/>
        <v>abshire.tia@xyz.org</v>
      </c>
      <c r="N26" s="37">
        <v>77.8</v>
      </c>
      <c r="O26" s="2" t="s">
        <v>213</v>
      </c>
      <c r="P26" s="2" t="s">
        <v>216</v>
      </c>
      <c r="Q26" s="3" t="str">
        <f>INDEX(SPORT!$A$2:$A$33, MATCH(R26, SPORT!$B$2:$B$33, 0))</f>
        <v>OUTDOOR</v>
      </c>
      <c r="R26" s="2" t="s">
        <v>181</v>
      </c>
      <c r="S26" s="2">
        <v>62037</v>
      </c>
    </row>
    <row r="27" spans="1:19" x14ac:dyDescent="0.3">
      <c r="A27" s="35">
        <v>26</v>
      </c>
      <c r="B27" s="3" t="str">
        <f t="shared" si="0"/>
        <v>MS. ISABEL  RUNOLFSDOTTIR</v>
      </c>
      <c r="C27" s="2" t="s">
        <v>6</v>
      </c>
      <c r="D27" s="2" t="s">
        <v>76</v>
      </c>
      <c r="E27" s="2"/>
      <c r="F27" s="2" t="s">
        <v>77</v>
      </c>
      <c r="G27" s="36">
        <v>28570</v>
      </c>
      <c r="H27" s="2" t="s">
        <v>69</v>
      </c>
      <c r="I27" s="2" t="s">
        <v>138</v>
      </c>
      <c r="J27" s="4" t="s">
        <v>152</v>
      </c>
      <c r="K27" s="4" t="str">
        <f>HLOOKUP(J27,LOCATION!$B$2:$M$3,2,FALSE)</f>
        <v>AUSTRALIA</v>
      </c>
      <c r="L27" s="4" t="str">
        <f>INDEX(LOCATION!$B$1:$M$1, MATCH(J27, LOCATION!$B$2:$M$2, 0))</f>
        <v>English</v>
      </c>
      <c r="M27" s="4" t="str">
        <f t="shared" si="1"/>
        <v>runolfsdottir.isabel@xyz.org</v>
      </c>
      <c r="N27" s="37">
        <v>85.9</v>
      </c>
      <c r="O27" s="2" t="s">
        <v>214</v>
      </c>
      <c r="P27" s="2" t="s">
        <v>219</v>
      </c>
      <c r="Q27" s="3" t="str">
        <f>INDEX(SPORT!$A$2:$A$33, MATCH(R27, SPORT!$B$2:$B$33, 0))</f>
        <v>INDOOR</v>
      </c>
      <c r="R27" s="2" t="s">
        <v>174</v>
      </c>
      <c r="S27" s="2">
        <v>89737</v>
      </c>
    </row>
    <row r="28" spans="1:19" x14ac:dyDescent="0.3">
      <c r="A28" s="35">
        <v>27</v>
      </c>
      <c r="B28" s="3" t="str">
        <f t="shared" si="0"/>
        <v>HR. BARNEY  WESACK</v>
      </c>
      <c r="C28" s="2" t="s">
        <v>46</v>
      </c>
      <c r="D28" s="2" t="s">
        <v>78</v>
      </c>
      <c r="E28" s="2"/>
      <c r="F28" s="2" t="s">
        <v>79</v>
      </c>
      <c r="G28" s="36">
        <v>25767</v>
      </c>
      <c r="H28" s="2" t="s">
        <v>17</v>
      </c>
      <c r="I28" s="2" t="s">
        <v>142</v>
      </c>
      <c r="J28" s="4" t="s">
        <v>154</v>
      </c>
      <c r="K28" s="4" t="str">
        <f>HLOOKUP(J28,LOCATION!$B$2:$M$3,2,FALSE)</f>
        <v>AUSTRIA</v>
      </c>
      <c r="L28" s="4" t="str">
        <f>INDEX(LOCATION!$B$1:$M$1, MATCH(J28, LOCATION!$B$2:$M$2, 0))</f>
        <v>German</v>
      </c>
      <c r="M28" s="4" t="str">
        <f t="shared" si="1"/>
        <v>wesack.barney@xyz.com</v>
      </c>
      <c r="N28" s="37">
        <v>93.4</v>
      </c>
      <c r="O28" s="2" t="s">
        <v>213</v>
      </c>
      <c r="P28" s="2" t="s">
        <v>219</v>
      </c>
      <c r="Q28" s="3" t="str">
        <f>INDEX(SPORT!$A$2:$A$33, MATCH(R28, SPORT!$B$2:$B$33, 0))</f>
        <v>INDOOR</v>
      </c>
      <c r="R28" s="2" t="s">
        <v>197</v>
      </c>
      <c r="S28" s="2">
        <v>41039</v>
      </c>
    </row>
    <row r="29" spans="1:19" x14ac:dyDescent="0.3">
      <c r="A29" s="35">
        <v>28</v>
      </c>
      <c r="B29" s="3" t="str">
        <f t="shared" si="0"/>
        <v>HR. BARUCH  KADE</v>
      </c>
      <c r="C29" s="2" t="s">
        <v>46</v>
      </c>
      <c r="D29" s="2" t="s">
        <v>80</v>
      </c>
      <c r="E29" s="2"/>
      <c r="F29" s="2" t="s">
        <v>81</v>
      </c>
      <c r="G29" s="36">
        <v>30020</v>
      </c>
      <c r="H29" s="2" t="s">
        <v>53</v>
      </c>
      <c r="I29" s="2" t="s">
        <v>142</v>
      </c>
      <c r="J29" s="4" t="s">
        <v>154</v>
      </c>
      <c r="K29" s="4" t="str">
        <f>HLOOKUP(J29,LOCATION!$B$2:$M$3,2,FALSE)</f>
        <v>AUSTRIA</v>
      </c>
      <c r="L29" s="4" t="str">
        <f>INDEX(LOCATION!$B$1:$M$1, MATCH(J29, LOCATION!$B$2:$M$2, 0))</f>
        <v>German</v>
      </c>
      <c r="M29" s="4" t="str">
        <f t="shared" si="1"/>
        <v>kade.baruch@xyz.com</v>
      </c>
      <c r="N29" s="37">
        <v>95.5</v>
      </c>
      <c r="O29" s="2" t="s">
        <v>218</v>
      </c>
      <c r="P29" s="2" t="s">
        <v>212</v>
      </c>
      <c r="Q29" s="3" t="str">
        <f>INDEX(SPORT!$A$2:$A$33, MATCH(R29, SPORT!$B$2:$B$33, 0))</f>
        <v>OUTDOOR</v>
      </c>
      <c r="R29" s="2" t="s">
        <v>186</v>
      </c>
      <c r="S29" s="2"/>
    </row>
    <row r="30" spans="1:19" x14ac:dyDescent="0.3">
      <c r="A30" s="35">
        <v>29</v>
      </c>
      <c r="B30" s="3" t="str">
        <f t="shared" si="0"/>
        <v>PROF. LIESBETH  ROSEMANN</v>
      </c>
      <c r="C30" s="2" t="s">
        <v>50</v>
      </c>
      <c r="D30" s="2" t="s">
        <v>82</v>
      </c>
      <c r="E30" s="2"/>
      <c r="F30" s="2" t="s">
        <v>83</v>
      </c>
      <c r="G30" s="36">
        <v>34361</v>
      </c>
      <c r="H30" s="2" t="s">
        <v>12</v>
      </c>
      <c r="I30" s="2" t="s">
        <v>138</v>
      </c>
      <c r="J30" s="4" t="s">
        <v>154</v>
      </c>
      <c r="K30" s="4" t="str">
        <f>HLOOKUP(J30,LOCATION!$B$2:$M$3,2,FALSE)</f>
        <v>AUSTRIA</v>
      </c>
      <c r="L30" s="4" t="str">
        <f>INDEX(LOCATION!$B$1:$M$1, MATCH(J30, LOCATION!$B$2:$M$2, 0))</f>
        <v>German</v>
      </c>
      <c r="M30" s="4" t="str">
        <f t="shared" si="1"/>
        <v>rosemann.liesbeth@xyz.com</v>
      </c>
      <c r="N30" s="37">
        <v>52.2</v>
      </c>
      <c r="O30" s="2" t="s">
        <v>214</v>
      </c>
      <c r="P30" s="2" t="s">
        <v>217</v>
      </c>
      <c r="Q30" s="3" t="str">
        <f>INDEX(SPORT!$A$2:$A$33, MATCH(R30, SPORT!$B$2:$B$33, 0))</f>
        <v>OUTDOOR</v>
      </c>
      <c r="R30" s="2" t="s">
        <v>181</v>
      </c>
      <c r="S30" s="2">
        <v>55007</v>
      </c>
    </row>
    <row r="31" spans="1:19" x14ac:dyDescent="0.3">
      <c r="A31" s="35">
        <v>30</v>
      </c>
      <c r="B31" s="3" t="str">
        <f t="shared" si="0"/>
        <v>MME. VALENTINE  MOREAU</v>
      </c>
      <c r="C31" s="2" t="s">
        <v>84</v>
      </c>
      <c r="D31" s="2" t="s">
        <v>85</v>
      </c>
      <c r="E31" s="2"/>
      <c r="F31" s="2" t="s">
        <v>86</v>
      </c>
      <c r="G31" s="36">
        <v>29137</v>
      </c>
      <c r="H31" s="2" t="s">
        <v>9</v>
      </c>
      <c r="I31" s="2" t="s">
        <v>138</v>
      </c>
      <c r="J31" s="4" t="s">
        <v>157</v>
      </c>
      <c r="K31" s="4" t="str">
        <f>HLOOKUP(J31,LOCATION!$B$2:$M$3,2,FALSE)</f>
        <v>FRANCE</v>
      </c>
      <c r="L31" s="4" t="str">
        <f>INDEX(LOCATION!$B$1:$M$1, MATCH(J31, LOCATION!$B$2:$M$2, 0))</f>
        <v>French</v>
      </c>
      <c r="M31" s="4" t="str">
        <f t="shared" si="1"/>
        <v>moreau.valentine@xyz.com</v>
      </c>
      <c r="N31" s="37">
        <v>74.599999999999994</v>
      </c>
      <c r="O31" s="2" t="s">
        <v>214</v>
      </c>
      <c r="P31" s="2" t="s">
        <v>219</v>
      </c>
      <c r="Q31" s="3" t="str">
        <f>INDEX(SPORT!$A$2:$A$33, MATCH(R31, SPORT!$B$2:$B$33, 0))</f>
        <v>OUTDOOR</v>
      </c>
      <c r="R31" s="2" t="s">
        <v>198</v>
      </c>
      <c r="S31" s="2">
        <v>69041</v>
      </c>
    </row>
    <row r="32" spans="1:19" x14ac:dyDescent="0.3">
      <c r="A32" s="35">
        <v>31</v>
      </c>
      <c r="B32" s="3" t="str">
        <f t="shared" si="0"/>
        <v>MME. PAULETTE  DURAND</v>
      </c>
      <c r="C32" s="2" t="s">
        <v>84</v>
      </c>
      <c r="D32" s="2" t="s">
        <v>87</v>
      </c>
      <c r="E32" s="2"/>
      <c r="F32" s="2" t="s">
        <v>88</v>
      </c>
      <c r="G32" s="36">
        <v>32867</v>
      </c>
      <c r="H32" s="2" t="s">
        <v>64</v>
      </c>
      <c r="I32" s="2" t="s">
        <v>138</v>
      </c>
      <c r="J32" s="4" t="s">
        <v>157</v>
      </c>
      <c r="K32" s="4" t="str">
        <f>HLOOKUP(J32,LOCATION!$B$2:$M$3,2,FALSE)</f>
        <v>FRANCE</v>
      </c>
      <c r="L32" s="4" t="str">
        <f>INDEX(LOCATION!$B$1:$M$1, MATCH(J32, LOCATION!$B$2:$M$2, 0))</f>
        <v>French</v>
      </c>
      <c r="M32" s="4" t="str">
        <f t="shared" si="1"/>
        <v>durand.paulette@xyz.com</v>
      </c>
      <c r="N32" s="37">
        <v>81.7</v>
      </c>
      <c r="O32" s="2" t="s">
        <v>213</v>
      </c>
      <c r="P32" s="2" t="s">
        <v>212</v>
      </c>
      <c r="Q32" s="3" t="str">
        <f>INDEX(SPORT!$A$2:$A$33, MATCH(R32, SPORT!$B$2:$B$33, 0))</f>
        <v>INDOOR</v>
      </c>
      <c r="R32" s="2" t="s">
        <v>197</v>
      </c>
      <c r="S32" s="2">
        <v>86262</v>
      </c>
    </row>
    <row r="33" spans="1:19" x14ac:dyDescent="0.3">
      <c r="A33" s="35">
        <v>32</v>
      </c>
      <c r="B33" s="3" t="str">
        <f t="shared" si="0"/>
        <v>MME. LAURE-ALIX  CHEVALIER</v>
      </c>
      <c r="C33" s="2" t="s">
        <v>84</v>
      </c>
      <c r="D33" s="2" t="s">
        <v>89</v>
      </c>
      <c r="E33" s="2"/>
      <c r="F33" s="2" t="s">
        <v>90</v>
      </c>
      <c r="G33" s="36">
        <v>25925</v>
      </c>
      <c r="H33" s="2" t="s">
        <v>64</v>
      </c>
      <c r="I33" s="2" t="s">
        <v>138</v>
      </c>
      <c r="J33" s="4" t="s">
        <v>157</v>
      </c>
      <c r="K33" s="4" t="str">
        <f>HLOOKUP(J33,LOCATION!$B$2:$M$3,2,FALSE)</f>
        <v>FRANCE</v>
      </c>
      <c r="L33" s="4" t="str">
        <f>INDEX(LOCATION!$B$1:$M$1, MATCH(J33, LOCATION!$B$2:$M$2, 0))</f>
        <v>French</v>
      </c>
      <c r="M33" s="4" t="str">
        <f t="shared" si="1"/>
        <v>chevalier.laure-alix@xyz.com</v>
      </c>
      <c r="N33" s="37">
        <v>78.099999999999994</v>
      </c>
      <c r="O33" s="2" t="s">
        <v>214</v>
      </c>
      <c r="P33" s="2" t="s">
        <v>217</v>
      </c>
      <c r="Q33" s="3" t="str">
        <f>INDEX(SPORT!$A$2:$A$33, MATCH(R33, SPORT!$B$2:$B$33, 0))</f>
        <v>OUTDOOR</v>
      </c>
      <c r="R33" s="2" t="s">
        <v>195</v>
      </c>
      <c r="S33" s="2">
        <v>19234</v>
      </c>
    </row>
    <row r="34" spans="1:19" x14ac:dyDescent="0.3">
      <c r="A34" s="35">
        <v>33</v>
      </c>
      <c r="B34" s="3" t="str">
        <f t="shared" si="0"/>
        <v>M. CLAUDE  TOUSSAINT</v>
      </c>
      <c r="C34" s="2" t="s">
        <v>91</v>
      </c>
      <c r="D34" s="2" t="s">
        <v>92</v>
      </c>
      <c r="E34" s="2"/>
      <c r="F34" s="2" t="s">
        <v>93</v>
      </c>
      <c r="G34" s="36">
        <v>29529</v>
      </c>
      <c r="H34" s="2" t="s">
        <v>40</v>
      </c>
      <c r="I34" s="2" t="s">
        <v>142</v>
      </c>
      <c r="J34" s="4" t="s">
        <v>157</v>
      </c>
      <c r="K34" s="4" t="str">
        <f>HLOOKUP(J34,LOCATION!$B$2:$M$3,2,FALSE)</f>
        <v>FRANCE</v>
      </c>
      <c r="L34" s="4" t="str">
        <f>INDEX(LOCATION!$B$1:$M$1, MATCH(J34, LOCATION!$B$2:$M$2, 0))</f>
        <v>French</v>
      </c>
      <c r="M34" s="4" t="str">
        <f t="shared" si="1"/>
        <v>toussaint.claude@xyz.com</v>
      </c>
      <c r="N34" s="37">
        <v>57.1</v>
      </c>
      <c r="O34" s="2" t="s">
        <v>209</v>
      </c>
      <c r="P34" s="2" t="s">
        <v>217</v>
      </c>
      <c r="Q34" s="3" t="str">
        <f>INDEX(SPORT!$A$2:$A$33, MATCH(R34, SPORT!$B$2:$B$33, 0))</f>
        <v>INDOOR</v>
      </c>
      <c r="R34" s="2" t="s">
        <v>199</v>
      </c>
      <c r="S34" s="2">
        <v>95123</v>
      </c>
    </row>
    <row r="35" spans="1:19" x14ac:dyDescent="0.3">
      <c r="A35" s="35">
        <v>34</v>
      </c>
      <c r="B35" s="3" t="str">
        <f t="shared" si="0"/>
        <v>M. VICTOR  LENOIR</v>
      </c>
      <c r="C35" s="2" t="s">
        <v>91</v>
      </c>
      <c r="D35" s="2" t="s">
        <v>94</v>
      </c>
      <c r="E35" s="2"/>
      <c r="F35" s="2" t="s">
        <v>95</v>
      </c>
      <c r="G35" s="36">
        <v>29875</v>
      </c>
      <c r="H35" s="2" t="s">
        <v>9</v>
      </c>
      <c r="I35" s="2" t="s">
        <v>142</v>
      </c>
      <c r="J35" s="4" t="s">
        <v>157</v>
      </c>
      <c r="K35" s="4" t="str">
        <f>HLOOKUP(J35,LOCATION!$B$2:$M$3,2,FALSE)</f>
        <v>FRANCE</v>
      </c>
      <c r="L35" s="4" t="str">
        <f>INDEX(LOCATION!$B$1:$M$1, MATCH(J35, LOCATION!$B$2:$M$2, 0))</f>
        <v>French</v>
      </c>
      <c r="M35" s="4" t="str">
        <f t="shared" si="1"/>
        <v>lenoir.victor@xyz.com</v>
      </c>
      <c r="N35" s="37">
        <v>56</v>
      </c>
      <c r="O35" s="2" t="s">
        <v>214</v>
      </c>
      <c r="P35" s="2" t="s">
        <v>219</v>
      </c>
      <c r="Q35" s="3" t="str">
        <f>INDEX(SPORT!$A$2:$A$33, MATCH(R35, SPORT!$B$2:$B$33, 0))</f>
        <v>OUTDOOR</v>
      </c>
      <c r="R35" s="2" t="s">
        <v>193</v>
      </c>
      <c r="S35" s="2">
        <v>62761</v>
      </c>
    </row>
    <row r="36" spans="1:19" x14ac:dyDescent="0.3">
      <c r="A36" s="35">
        <v>35</v>
      </c>
      <c r="B36" s="3" t="str">
        <f t="shared" si="0"/>
        <v>M. ARTHUR  LENOIR</v>
      </c>
      <c r="C36" s="2" t="s">
        <v>91</v>
      </c>
      <c r="D36" s="2" t="s">
        <v>96</v>
      </c>
      <c r="E36" s="2"/>
      <c r="F36" s="2" t="s">
        <v>95</v>
      </c>
      <c r="G36" s="36">
        <v>20300</v>
      </c>
      <c r="H36" s="2" t="s">
        <v>30</v>
      </c>
      <c r="I36" s="2" t="s">
        <v>142</v>
      </c>
      <c r="J36" s="4" t="s">
        <v>157</v>
      </c>
      <c r="K36" s="4" t="str">
        <f>HLOOKUP(J36,LOCATION!$B$2:$M$3,2,FALSE)</f>
        <v>FRANCE</v>
      </c>
      <c r="L36" s="4" t="str">
        <f>INDEX(LOCATION!$B$1:$M$1, MATCH(J36, LOCATION!$B$2:$M$2, 0))</f>
        <v>French</v>
      </c>
      <c r="M36" s="4" t="str">
        <f t="shared" si="1"/>
        <v>lenoir.arthur@xyz.com</v>
      </c>
      <c r="N36" s="37">
        <v>88.6</v>
      </c>
      <c r="O36" s="2" t="s">
        <v>213</v>
      </c>
      <c r="P36" s="2" t="s">
        <v>217</v>
      </c>
      <c r="Q36" s="3" t="str">
        <f>INDEX(SPORT!$A$2:$A$33, MATCH(R36, SPORT!$B$2:$B$33, 0))</f>
        <v>OUTDOOR</v>
      </c>
      <c r="R36" s="2" t="s">
        <v>200</v>
      </c>
      <c r="S36" s="2">
        <v>108431</v>
      </c>
    </row>
    <row r="37" spans="1:19" x14ac:dyDescent="0.3">
      <c r="A37" s="35">
        <v>36</v>
      </c>
      <c r="B37" s="3" t="str">
        <f t="shared" si="0"/>
        <v>M. BENJAMIN  LEBRUN-BRUN</v>
      </c>
      <c r="C37" s="2" t="s">
        <v>91</v>
      </c>
      <c r="D37" s="2" t="s">
        <v>97</v>
      </c>
      <c r="E37" s="2"/>
      <c r="F37" s="2" t="s">
        <v>98</v>
      </c>
      <c r="G37" s="36">
        <v>27428</v>
      </c>
      <c r="H37" s="2" t="s">
        <v>12</v>
      </c>
      <c r="I37" s="2" t="s">
        <v>142</v>
      </c>
      <c r="J37" s="4" t="s">
        <v>157</v>
      </c>
      <c r="K37" s="4" t="str">
        <f>HLOOKUP(J37,LOCATION!$B$2:$M$3,2,FALSE)</f>
        <v>FRANCE</v>
      </c>
      <c r="L37" s="4" t="str">
        <f>INDEX(LOCATION!$B$1:$M$1, MATCH(J37, LOCATION!$B$2:$M$2, 0))</f>
        <v>French</v>
      </c>
      <c r="M37" s="4" t="str">
        <f t="shared" si="1"/>
        <v>lebrun-brun.benjamin@xyz.com</v>
      </c>
      <c r="N37" s="37">
        <v>78.2</v>
      </c>
      <c r="O37" s="2" t="s">
        <v>211</v>
      </c>
      <c r="P37" s="2" t="s">
        <v>212</v>
      </c>
      <c r="Q37" s="3" t="str">
        <f>INDEX(SPORT!$A$2:$A$33, MATCH(R37, SPORT!$B$2:$B$33, 0))</f>
        <v>OUTDOOR</v>
      </c>
      <c r="R37" s="2" t="s">
        <v>193</v>
      </c>
      <c r="S37" s="2">
        <v>66268</v>
      </c>
    </row>
    <row r="38" spans="1:19" x14ac:dyDescent="0.3">
      <c r="A38" s="35">
        <v>37</v>
      </c>
      <c r="B38" s="3" t="str">
        <f t="shared" si="0"/>
        <v>M. ANTOINE  MAILLARD</v>
      </c>
      <c r="C38" s="2" t="s">
        <v>91</v>
      </c>
      <c r="D38" s="2" t="s">
        <v>99</v>
      </c>
      <c r="E38" s="2"/>
      <c r="F38" s="2" t="s">
        <v>100</v>
      </c>
      <c r="G38" s="36">
        <v>31585</v>
      </c>
      <c r="H38" s="2" t="s">
        <v>17</v>
      </c>
      <c r="I38" s="2" t="s">
        <v>142</v>
      </c>
      <c r="J38" s="4" t="s">
        <v>157</v>
      </c>
      <c r="K38" s="4" t="str">
        <f>HLOOKUP(J38,LOCATION!$B$2:$M$3,2,FALSE)</f>
        <v>FRANCE</v>
      </c>
      <c r="L38" s="4" t="str">
        <f>INDEX(LOCATION!$B$1:$M$1, MATCH(J38, LOCATION!$B$2:$M$2, 0))</f>
        <v>French</v>
      </c>
      <c r="M38" s="4" t="str">
        <f t="shared" si="1"/>
        <v>maillard.antoine@xyz.com</v>
      </c>
      <c r="N38" s="37">
        <v>95.8</v>
      </c>
      <c r="O38" s="2" t="s">
        <v>214</v>
      </c>
      <c r="P38" s="2" t="s">
        <v>215</v>
      </c>
      <c r="Q38" s="3" t="str">
        <f>INDEX(SPORT!$A$2:$A$33, MATCH(R38, SPORT!$B$2:$B$33, 0))</f>
        <v>OUTDOOR</v>
      </c>
      <c r="R38" s="2" t="s">
        <v>201</v>
      </c>
      <c r="S38" s="2">
        <v>33970</v>
      </c>
    </row>
    <row r="39" spans="1:19" x14ac:dyDescent="0.3">
      <c r="A39" s="35">
        <v>38</v>
      </c>
      <c r="B39" s="3" t="str">
        <f t="shared" si="0"/>
        <v>M. BERNARD  HOARAU-GUYON</v>
      </c>
      <c r="C39" s="2" t="s">
        <v>91</v>
      </c>
      <c r="D39" s="2" t="s">
        <v>101</v>
      </c>
      <c r="E39" s="2"/>
      <c r="F39" s="2" t="s">
        <v>102</v>
      </c>
      <c r="G39" s="36">
        <v>30327</v>
      </c>
      <c r="H39" s="2" t="s">
        <v>64</v>
      </c>
      <c r="I39" s="2" t="s">
        <v>142</v>
      </c>
      <c r="J39" s="4" t="s">
        <v>157</v>
      </c>
      <c r="K39" s="4" t="str">
        <f>HLOOKUP(J39,LOCATION!$B$2:$M$3,2,FALSE)</f>
        <v>FRANCE</v>
      </c>
      <c r="L39" s="4" t="str">
        <f>INDEX(LOCATION!$B$1:$M$1, MATCH(J39, LOCATION!$B$2:$M$2, 0))</f>
        <v>French</v>
      </c>
      <c r="M39" s="4" t="str">
        <f t="shared" si="1"/>
        <v>hoarau-guyon.bernard@xyz.com</v>
      </c>
      <c r="N39" s="37">
        <v>59.7</v>
      </c>
      <c r="O39" s="2" t="s">
        <v>218</v>
      </c>
      <c r="P39" s="2" t="s">
        <v>212</v>
      </c>
      <c r="Q39" s="3" t="str">
        <f>INDEX(SPORT!$A$2:$A$33, MATCH(R39, SPORT!$B$2:$B$33, 0))</f>
        <v>INDOOR</v>
      </c>
      <c r="R39" s="2" t="s">
        <v>174</v>
      </c>
      <c r="S39" s="2">
        <v>71352</v>
      </c>
    </row>
    <row r="40" spans="1:19" x14ac:dyDescent="0.3">
      <c r="A40" s="35">
        <v>39</v>
      </c>
      <c r="B40" s="3" t="str">
        <f t="shared" si="0"/>
        <v>SR. HIDALGO CANTU TERCERO</v>
      </c>
      <c r="C40" s="2" t="s">
        <v>13</v>
      </c>
      <c r="D40" s="2" t="s">
        <v>103</v>
      </c>
      <c r="E40" s="2" t="s">
        <v>104</v>
      </c>
      <c r="F40" s="2" t="s">
        <v>105</v>
      </c>
      <c r="G40" s="36">
        <v>31016</v>
      </c>
      <c r="H40" s="2" t="s">
        <v>27</v>
      </c>
      <c r="I40" s="2" t="s">
        <v>142</v>
      </c>
      <c r="J40" s="4" t="s">
        <v>160</v>
      </c>
      <c r="K40" s="4" t="str">
        <f>HLOOKUP(J40,LOCATION!$B$2:$M$3,2,FALSE)</f>
        <v>ARGENTINA</v>
      </c>
      <c r="L40" s="4" t="str">
        <f>INDEX(LOCATION!$B$1:$M$1, MATCH(J40, LOCATION!$B$2:$M$2, 0))</f>
        <v>Spanish</v>
      </c>
      <c r="M40" s="4" t="str">
        <f t="shared" si="1"/>
        <v>tercero.hidalgo@xyz.com</v>
      </c>
      <c r="N40" s="37">
        <v>77.7</v>
      </c>
      <c r="O40" s="2" t="s">
        <v>218</v>
      </c>
      <c r="P40" s="2" t="s">
        <v>215</v>
      </c>
      <c r="Q40" s="3" t="str">
        <f>INDEX(SPORT!$A$2:$A$33, MATCH(R40, SPORT!$B$2:$B$33, 0))</f>
        <v>OUTDOOR</v>
      </c>
      <c r="R40" s="2" t="s">
        <v>196</v>
      </c>
      <c r="S40" s="2">
        <v>116376</v>
      </c>
    </row>
    <row r="41" spans="1:19" x14ac:dyDescent="0.3">
      <c r="A41" s="35">
        <v>40</v>
      </c>
      <c r="B41" s="3" t="str">
        <f t="shared" si="0"/>
        <v>SR. HADALGO  POLANCO</v>
      </c>
      <c r="C41" s="2" t="s">
        <v>13</v>
      </c>
      <c r="D41" s="2" t="s">
        <v>106</v>
      </c>
      <c r="E41" s="2"/>
      <c r="F41" s="2" t="s">
        <v>107</v>
      </c>
      <c r="G41" s="36">
        <v>32314</v>
      </c>
      <c r="H41" s="2" t="s">
        <v>108</v>
      </c>
      <c r="I41" s="2" t="s">
        <v>142</v>
      </c>
      <c r="J41" s="4" t="s">
        <v>160</v>
      </c>
      <c r="K41" s="4" t="str">
        <f>HLOOKUP(J41,LOCATION!$B$2:$M$3,2,FALSE)</f>
        <v>ARGENTINA</v>
      </c>
      <c r="L41" s="4" t="str">
        <f>INDEX(LOCATION!$B$1:$M$1, MATCH(J41, LOCATION!$B$2:$M$2, 0))</f>
        <v>Spanish</v>
      </c>
      <c r="M41" s="4" t="str">
        <f t="shared" si="1"/>
        <v>polanco.hadalgo@xyz.com</v>
      </c>
      <c r="N41" s="37">
        <v>98</v>
      </c>
      <c r="O41" s="2" t="s">
        <v>214</v>
      </c>
      <c r="P41" s="2" t="s">
        <v>210</v>
      </c>
      <c r="Q41" s="3" t="str">
        <f>INDEX(SPORT!$A$2:$A$33, MATCH(R41, SPORT!$B$2:$B$33, 0))</f>
        <v>OUTDOOR</v>
      </c>
      <c r="R41" s="2" t="s">
        <v>195</v>
      </c>
      <c r="S41" s="2">
        <v>114144</v>
      </c>
    </row>
    <row r="42" spans="1:19" x14ac:dyDescent="0.3">
      <c r="A42" s="35">
        <v>41</v>
      </c>
      <c r="B42" s="3" t="str">
        <f t="shared" si="0"/>
        <v>SRA. LAURA  OLIVIERA</v>
      </c>
      <c r="C42" s="2" t="s">
        <v>109</v>
      </c>
      <c r="D42" s="2" t="s">
        <v>110</v>
      </c>
      <c r="E42" s="2"/>
      <c r="F42" s="2" t="s">
        <v>111</v>
      </c>
      <c r="G42" s="36">
        <v>27076</v>
      </c>
      <c r="H42" s="2" t="s">
        <v>12</v>
      </c>
      <c r="I42" s="2" t="s">
        <v>138</v>
      </c>
      <c r="J42" s="4" t="s">
        <v>160</v>
      </c>
      <c r="K42" s="4" t="str">
        <f>HLOOKUP(J42,LOCATION!$B$2:$M$3,2,FALSE)</f>
        <v>ARGENTINA</v>
      </c>
      <c r="L42" s="4" t="str">
        <f>INDEX(LOCATION!$B$1:$M$1, MATCH(J42, LOCATION!$B$2:$M$2, 0))</f>
        <v>Spanish</v>
      </c>
      <c r="M42" s="4" t="str">
        <f t="shared" si="1"/>
        <v>oliviera.laura@xyz.com</v>
      </c>
      <c r="N42" s="37">
        <v>51.9</v>
      </c>
      <c r="O42" s="2" t="s">
        <v>213</v>
      </c>
      <c r="P42" s="2" t="s">
        <v>212</v>
      </c>
      <c r="Q42" s="3" t="str">
        <f>INDEX(SPORT!$A$2:$A$33, MATCH(R42, SPORT!$B$2:$B$33, 0))</f>
        <v>OUTDOOR</v>
      </c>
      <c r="R42" s="2" t="s">
        <v>202</v>
      </c>
      <c r="S42" s="2">
        <v>79872</v>
      </c>
    </row>
    <row r="43" spans="1:19" x14ac:dyDescent="0.3">
      <c r="A43" s="35">
        <v>42</v>
      </c>
      <c r="B43" s="3" t="str">
        <f t="shared" si="0"/>
        <v>SRA. AINHOA  GARZA</v>
      </c>
      <c r="C43" s="2" t="s">
        <v>109</v>
      </c>
      <c r="D43" s="2" t="s">
        <v>112</v>
      </c>
      <c r="E43" s="2"/>
      <c r="F43" s="2" t="s">
        <v>113</v>
      </c>
      <c r="G43" s="36">
        <v>32941</v>
      </c>
      <c r="H43" s="2" t="s">
        <v>53</v>
      </c>
      <c r="I43" s="2" t="s">
        <v>138</v>
      </c>
      <c r="J43" s="4" t="s">
        <v>162</v>
      </c>
      <c r="K43" s="4" t="str">
        <f>HLOOKUP(J43,LOCATION!$B$2:$M$3,2,FALSE)</f>
        <v>SPAIN</v>
      </c>
      <c r="L43" s="4" t="str">
        <f>INDEX(LOCATION!$B$1:$M$1, MATCH(J43, LOCATION!$B$2:$M$2, 0))</f>
        <v>Spanish</v>
      </c>
      <c r="M43" s="4" t="str">
        <f t="shared" si="1"/>
        <v>garza.ainhoa@xyz.com</v>
      </c>
      <c r="N43" s="37">
        <v>55.6</v>
      </c>
      <c r="O43" s="2" t="s">
        <v>211</v>
      </c>
      <c r="P43" s="2" t="s">
        <v>217</v>
      </c>
      <c r="Q43" s="3" t="str">
        <f>INDEX(SPORT!$A$2:$A$33, MATCH(R43, SPORT!$B$2:$B$33, 0))</f>
        <v>INDOOR</v>
      </c>
      <c r="R43" s="2" t="s">
        <v>203</v>
      </c>
      <c r="S43" s="2">
        <v>101969</v>
      </c>
    </row>
    <row r="44" spans="1:19" x14ac:dyDescent="0.3">
      <c r="A44" s="35">
        <v>43</v>
      </c>
      <c r="B44" s="3" t="str">
        <f t="shared" si="0"/>
        <v>SRA. ISABEL  BANDA</v>
      </c>
      <c r="C44" s="2" t="s">
        <v>109</v>
      </c>
      <c r="D44" s="2" t="s">
        <v>76</v>
      </c>
      <c r="E44" s="2"/>
      <c r="F44" s="2" t="s">
        <v>114</v>
      </c>
      <c r="G44" s="36">
        <v>21927</v>
      </c>
      <c r="H44" s="2" t="s">
        <v>64</v>
      </c>
      <c r="I44" s="2" t="s">
        <v>138</v>
      </c>
      <c r="J44" s="4" t="s">
        <v>162</v>
      </c>
      <c r="K44" s="4" t="str">
        <f>HLOOKUP(J44,LOCATION!$B$2:$M$3,2,FALSE)</f>
        <v>SPAIN</v>
      </c>
      <c r="L44" s="4" t="str">
        <f>INDEX(LOCATION!$B$1:$M$1, MATCH(J44, LOCATION!$B$2:$M$2, 0))</f>
        <v>Spanish</v>
      </c>
      <c r="M44" s="4" t="str">
        <f t="shared" si="1"/>
        <v>banda.isabel@xyz.com</v>
      </c>
      <c r="N44" s="37">
        <v>102.3</v>
      </c>
      <c r="O44" s="2" t="s">
        <v>213</v>
      </c>
      <c r="P44" s="2" t="s">
        <v>217</v>
      </c>
      <c r="Q44" s="3" t="str">
        <f>INDEX(SPORT!$A$2:$A$33, MATCH(R44, SPORT!$B$2:$B$33, 0))</f>
        <v>OUTDOOR</v>
      </c>
      <c r="R44" s="2" t="s">
        <v>196</v>
      </c>
      <c r="S44" s="2">
        <v>50659</v>
      </c>
    </row>
    <row r="45" spans="1:19" x14ac:dyDescent="0.3">
      <c r="A45" s="35">
        <v>44</v>
      </c>
      <c r="B45" s="3" t="str">
        <f t="shared" si="0"/>
        <v>SRA. CAROLOTA  MATEOS</v>
      </c>
      <c r="C45" s="2" t="s">
        <v>109</v>
      </c>
      <c r="D45" s="2" t="s">
        <v>115</v>
      </c>
      <c r="E45" s="2"/>
      <c r="F45" s="2" t="s">
        <v>116</v>
      </c>
      <c r="G45" s="36">
        <v>23952</v>
      </c>
      <c r="H45" s="2" t="s">
        <v>30</v>
      </c>
      <c r="I45" s="2" t="s">
        <v>138</v>
      </c>
      <c r="J45" s="4" t="s">
        <v>162</v>
      </c>
      <c r="K45" s="4" t="str">
        <f>HLOOKUP(J45,LOCATION!$B$2:$M$3,2,FALSE)</f>
        <v>SPAIN</v>
      </c>
      <c r="L45" s="4" t="str">
        <f>INDEX(LOCATION!$B$1:$M$1, MATCH(J45, LOCATION!$B$2:$M$2, 0))</f>
        <v>Spanish</v>
      </c>
      <c r="M45" s="4" t="str">
        <f t="shared" si="1"/>
        <v>mateos.carolota@xyz.com</v>
      </c>
      <c r="N45" s="37">
        <v>58.8</v>
      </c>
      <c r="O45" s="2" t="s">
        <v>218</v>
      </c>
      <c r="P45" s="2" t="s">
        <v>212</v>
      </c>
      <c r="Q45" s="3" t="str">
        <f>INDEX(SPORT!$A$2:$A$33, MATCH(R45, SPORT!$B$2:$B$33, 0))</f>
        <v>OUTDOOR</v>
      </c>
      <c r="R45" s="2" t="s">
        <v>202</v>
      </c>
      <c r="S45" s="2">
        <v>58215</v>
      </c>
    </row>
    <row r="46" spans="1:19" x14ac:dyDescent="0.3">
      <c r="A46" s="35">
        <v>45</v>
      </c>
      <c r="B46" s="3" t="str">
        <f t="shared" si="0"/>
        <v>MW. ELIZE  PRINS</v>
      </c>
      <c r="C46" s="2" t="s">
        <v>117</v>
      </c>
      <c r="D46" s="2" t="s">
        <v>118</v>
      </c>
      <c r="E46" s="2"/>
      <c r="F46" s="2" t="s">
        <v>119</v>
      </c>
      <c r="G46" s="36">
        <v>22044</v>
      </c>
      <c r="H46" s="2" t="s">
        <v>20</v>
      </c>
      <c r="I46" s="2" t="s">
        <v>138</v>
      </c>
      <c r="J46" s="4" t="s">
        <v>165</v>
      </c>
      <c r="K46" s="4" t="str">
        <f>HLOOKUP(J46,LOCATION!$B$2:$M$3,2,FALSE)</f>
        <v>NETHERLANDS</v>
      </c>
      <c r="L46" s="4" t="str">
        <f>INDEX(LOCATION!$B$1:$M$1, MATCH(J46, LOCATION!$B$2:$M$2, 0))</f>
        <v>Dutch</v>
      </c>
      <c r="M46" s="4" t="str">
        <f t="shared" si="1"/>
        <v>prins.elize@xyz.com</v>
      </c>
      <c r="N46" s="37">
        <v>63.8</v>
      </c>
      <c r="O46" s="2" t="s">
        <v>214</v>
      </c>
      <c r="P46" s="2" t="s">
        <v>217</v>
      </c>
      <c r="Q46" s="3" t="str">
        <f>INDEX(SPORT!$A$2:$A$33, MATCH(R46, SPORT!$B$2:$B$33, 0))</f>
        <v>INDOOR</v>
      </c>
      <c r="R46" s="2" t="s">
        <v>204</v>
      </c>
      <c r="S46" s="2">
        <v>39935</v>
      </c>
    </row>
    <row r="47" spans="1:19" x14ac:dyDescent="0.3">
      <c r="A47" s="35">
        <v>46</v>
      </c>
      <c r="B47" s="3" t="str">
        <f t="shared" si="0"/>
        <v>DHR. RYAN  PHAM</v>
      </c>
      <c r="C47" s="2" t="s">
        <v>120</v>
      </c>
      <c r="D47" s="2" t="s">
        <v>121</v>
      </c>
      <c r="E47" s="2"/>
      <c r="F47" s="2" t="s">
        <v>122</v>
      </c>
      <c r="G47" s="36">
        <v>26940</v>
      </c>
      <c r="H47" s="2" t="s">
        <v>9</v>
      </c>
      <c r="I47" s="2" t="s">
        <v>142</v>
      </c>
      <c r="J47" s="4" t="s">
        <v>165</v>
      </c>
      <c r="K47" s="4" t="str">
        <f>HLOOKUP(J47,LOCATION!$B$2:$M$3,2,FALSE)</f>
        <v>NETHERLANDS</v>
      </c>
      <c r="L47" s="4" t="str">
        <f>INDEX(LOCATION!$B$1:$M$1, MATCH(J47, LOCATION!$B$2:$M$2, 0))</f>
        <v>Dutch</v>
      </c>
      <c r="M47" s="4" t="str">
        <f t="shared" si="1"/>
        <v>pham.ryan@xyz.com</v>
      </c>
      <c r="N47" s="37">
        <v>98.6</v>
      </c>
      <c r="O47" s="2" t="s">
        <v>213</v>
      </c>
      <c r="P47" s="2" t="s">
        <v>219</v>
      </c>
      <c r="Q47" s="3" t="str">
        <f>INDEX(SPORT!$A$2:$A$33, MATCH(R47, SPORT!$B$2:$B$33, 0))</f>
        <v>OUTDOOR</v>
      </c>
      <c r="R47" s="2" t="s">
        <v>195</v>
      </c>
      <c r="S47" s="2">
        <v>44865</v>
      </c>
    </row>
    <row r="48" spans="1:19" x14ac:dyDescent="0.3">
      <c r="A48" s="35">
        <v>47</v>
      </c>
      <c r="B48" s="3" t="str">
        <f t="shared" si="0"/>
        <v>MW ELISE  ROTTEVEEL</v>
      </c>
      <c r="C48" s="2" t="s">
        <v>123</v>
      </c>
      <c r="D48" s="2" t="s">
        <v>124</v>
      </c>
      <c r="E48" s="2"/>
      <c r="F48" s="2" t="s">
        <v>125</v>
      </c>
      <c r="G48" s="36">
        <v>24936</v>
      </c>
      <c r="H48" s="2" t="s">
        <v>69</v>
      </c>
      <c r="I48" s="2" t="s">
        <v>138</v>
      </c>
      <c r="J48" s="4" t="s">
        <v>165</v>
      </c>
      <c r="K48" s="4" t="str">
        <f>HLOOKUP(J48,LOCATION!$B$2:$M$3,2,FALSE)</f>
        <v>NETHERLANDS</v>
      </c>
      <c r="L48" s="4" t="str">
        <f>INDEX(LOCATION!$B$1:$M$1, MATCH(J48, LOCATION!$B$2:$M$2, 0))</f>
        <v>Dutch</v>
      </c>
      <c r="M48" s="4" t="str">
        <f t="shared" si="1"/>
        <v>rotteveel.elise@xyz.com</v>
      </c>
      <c r="N48" s="37">
        <v>61.8</v>
      </c>
      <c r="O48" s="2" t="s">
        <v>218</v>
      </c>
      <c r="P48" s="2" t="s">
        <v>212</v>
      </c>
      <c r="Q48" s="3" t="str">
        <f>INDEX(SPORT!$A$2:$A$33, MATCH(R48, SPORT!$B$2:$B$33, 0))</f>
        <v>OUTDOOR</v>
      </c>
      <c r="R48" s="2" t="s">
        <v>195</v>
      </c>
      <c r="S48" s="2">
        <v>90478</v>
      </c>
    </row>
    <row r="49" spans="1:19" x14ac:dyDescent="0.3">
      <c r="A49" s="35">
        <v>48</v>
      </c>
      <c r="B49" s="3" t="str">
        <f t="shared" si="0"/>
        <v>FRU. MIRJAM  SODERBERG</v>
      </c>
      <c r="C49" s="2" t="s">
        <v>126</v>
      </c>
      <c r="D49" s="2" t="s">
        <v>127</v>
      </c>
      <c r="E49" s="2"/>
      <c r="F49" s="2" t="s">
        <v>128</v>
      </c>
      <c r="G49" s="36">
        <v>35567</v>
      </c>
      <c r="H49" s="2" t="s">
        <v>20</v>
      </c>
      <c r="I49" s="2" t="s">
        <v>138</v>
      </c>
      <c r="J49" s="4" t="s">
        <v>168</v>
      </c>
      <c r="K49" s="4" t="str">
        <f>HLOOKUP(J49,LOCATION!$B$2:$M$3,2,FALSE)</f>
        <v>SWEDEN</v>
      </c>
      <c r="L49" s="4" t="str">
        <f>INDEX(LOCATION!$B$1:$M$1, MATCH(J49, LOCATION!$B$2:$M$2, 0))</f>
        <v>Swedish</v>
      </c>
      <c r="M49" s="4" t="str">
        <f t="shared" si="1"/>
        <v>soderberg.mirjam@xyz.com</v>
      </c>
      <c r="N49" s="37">
        <v>50</v>
      </c>
      <c r="O49" s="2" t="s">
        <v>213</v>
      </c>
      <c r="P49" s="2" t="s">
        <v>217</v>
      </c>
      <c r="Q49" s="3" t="str">
        <f>INDEX(SPORT!$A$2:$A$33, MATCH(R49, SPORT!$B$2:$B$33, 0))</f>
        <v>OUTDOOR</v>
      </c>
      <c r="R49" s="2" t="s">
        <v>177</v>
      </c>
      <c r="S49" s="2">
        <v>38965</v>
      </c>
    </row>
    <row r="50" spans="1:19" x14ac:dyDescent="0.3">
      <c r="A50" s="35">
        <v>49</v>
      </c>
      <c r="B50" s="3" t="str">
        <f t="shared" si="0"/>
        <v>H. BERNDT  PALSSON</v>
      </c>
      <c r="C50" s="2" t="s">
        <v>129</v>
      </c>
      <c r="D50" s="2" t="s">
        <v>130</v>
      </c>
      <c r="E50" s="2"/>
      <c r="F50" s="2" t="s">
        <v>131</v>
      </c>
      <c r="G50" s="36">
        <v>31832</v>
      </c>
      <c r="H50" s="2" t="s">
        <v>53</v>
      </c>
      <c r="I50" s="2" t="s">
        <v>142</v>
      </c>
      <c r="J50" s="4" t="s">
        <v>168</v>
      </c>
      <c r="K50" s="4" t="str">
        <f>HLOOKUP(J50,LOCATION!$B$2:$M$3,2,FALSE)</f>
        <v>SWEDEN</v>
      </c>
      <c r="L50" s="4" t="str">
        <f>INDEX(LOCATION!$B$1:$M$1, MATCH(J50, LOCATION!$B$2:$M$2, 0))</f>
        <v>Swedish</v>
      </c>
      <c r="M50" s="4" t="str">
        <f t="shared" si="1"/>
        <v>palsson.berndt@xyz.com</v>
      </c>
      <c r="N50" s="37">
        <v>45.9</v>
      </c>
      <c r="O50" s="2" t="s">
        <v>214</v>
      </c>
      <c r="P50" s="2" t="s">
        <v>210</v>
      </c>
      <c r="Q50" s="3" t="str">
        <f>INDEX(SPORT!$A$2:$A$33, MATCH(R50, SPORT!$B$2:$B$33, 0))</f>
        <v>OUTDOOR</v>
      </c>
      <c r="R50" s="2" t="s">
        <v>205</v>
      </c>
      <c r="S50" s="2">
        <v>35387</v>
      </c>
    </row>
    <row r="51" spans="1:19" x14ac:dyDescent="0.3">
      <c r="A51" s="35">
        <v>50</v>
      </c>
      <c r="B51" s="3" t="str">
        <f t="shared" si="0"/>
        <v>SR. ADRIANO PONTES SOBRINHO</v>
      </c>
      <c r="C51" s="2" t="s">
        <v>13</v>
      </c>
      <c r="D51" s="2" t="s">
        <v>132</v>
      </c>
      <c r="E51" s="2" t="s">
        <v>133</v>
      </c>
      <c r="F51" s="2" t="s">
        <v>134</v>
      </c>
      <c r="G51" s="36">
        <v>34178</v>
      </c>
      <c r="H51" s="2" t="s">
        <v>30</v>
      </c>
      <c r="I51" s="2" t="s">
        <v>142</v>
      </c>
      <c r="J51" s="4" t="s">
        <v>169</v>
      </c>
      <c r="K51" s="4" t="str">
        <f>HLOOKUP(J51,LOCATION!$B$2:$M$3,2,FALSE)</f>
        <v>BRAZIL</v>
      </c>
      <c r="L51" s="4" t="str">
        <f>INDEX(LOCATION!$B$1:$M$1, MATCH(J51, LOCATION!$B$2:$M$2, 0))</f>
        <v>Portuguese</v>
      </c>
      <c r="M51" s="4" t="str">
        <f t="shared" si="1"/>
        <v>sobrinho.adriano@xyz.com</v>
      </c>
      <c r="N51" s="37">
        <v>92.5</v>
      </c>
      <c r="O51" s="2" t="s">
        <v>209</v>
      </c>
      <c r="P51" s="2" t="s">
        <v>216</v>
      </c>
      <c r="Q51" s="3" t="str">
        <f>INDEX(SPORT!$A$2:$A$33, MATCH(R51, SPORT!$B$2:$B$33, 0))</f>
        <v>INDOOR</v>
      </c>
      <c r="R51" s="2" t="s">
        <v>206</v>
      </c>
      <c r="S51" s="2">
        <v>20532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B33"/>
  <sheetViews>
    <sheetView showGridLines="0" workbookViewId="0">
      <selection activeCell="A2" sqref="A2"/>
    </sheetView>
  </sheetViews>
  <sheetFormatPr defaultRowHeight="14.4" x14ac:dyDescent="0.3"/>
  <cols>
    <col min="1" max="1" width="15.5546875" bestFit="1" customWidth="1"/>
    <col min="2" max="2" width="24" bestFit="1" customWidth="1"/>
  </cols>
  <sheetData>
    <row r="1" spans="1:2" x14ac:dyDescent="0.25">
      <c r="A1" s="32" t="s">
        <v>171</v>
      </c>
      <c r="B1" s="32" t="s">
        <v>172</v>
      </c>
    </row>
    <row r="2" spans="1:2" x14ac:dyDescent="0.25">
      <c r="A2" s="33" t="s">
        <v>173</v>
      </c>
      <c r="B2" s="33" t="s">
        <v>174</v>
      </c>
    </row>
    <row r="3" spans="1:2" x14ac:dyDescent="0.25">
      <c r="A3" s="34" t="s">
        <v>173</v>
      </c>
      <c r="B3" s="34" t="s">
        <v>175</v>
      </c>
    </row>
    <row r="4" spans="1:2" x14ac:dyDescent="0.25">
      <c r="A4" s="34" t="s">
        <v>176</v>
      </c>
      <c r="B4" s="34" t="s">
        <v>177</v>
      </c>
    </row>
    <row r="5" spans="1:2" x14ac:dyDescent="0.25">
      <c r="A5" s="34" t="s">
        <v>176</v>
      </c>
      <c r="B5" s="34" t="s">
        <v>178</v>
      </c>
    </row>
    <row r="6" spans="1:2" x14ac:dyDescent="0.25">
      <c r="A6" s="34" t="s">
        <v>173</v>
      </c>
      <c r="B6" s="34" t="s">
        <v>179</v>
      </c>
    </row>
    <row r="7" spans="1:2" x14ac:dyDescent="0.25">
      <c r="A7" s="34" t="s">
        <v>173</v>
      </c>
      <c r="B7" s="34" t="s">
        <v>180</v>
      </c>
    </row>
    <row r="8" spans="1:2" x14ac:dyDescent="0.25">
      <c r="A8" s="34" t="s">
        <v>176</v>
      </c>
      <c r="B8" s="34" t="s">
        <v>181</v>
      </c>
    </row>
    <row r="9" spans="1:2" x14ac:dyDescent="0.25">
      <c r="A9" s="34" t="s">
        <v>173</v>
      </c>
      <c r="B9" s="34" t="s">
        <v>182</v>
      </c>
    </row>
    <row r="10" spans="1:2" x14ac:dyDescent="0.25">
      <c r="A10" s="34" t="s">
        <v>173</v>
      </c>
      <c r="B10" s="34" t="s">
        <v>183</v>
      </c>
    </row>
    <row r="11" spans="1:2" x14ac:dyDescent="0.25">
      <c r="A11" s="34" t="s">
        <v>176</v>
      </c>
      <c r="B11" s="34" t="s">
        <v>184</v>
      </c>
    </row>
    <row r="12" spans="1:2" x14ac:dyDescent="0.25">
      <c r="A12" s="34" t="s">
        <v>176</v>
      </c>
      <c r="B12" s="34" t="s">
        <v>185</v>
      </c>
    </row>
    <row r="13" spans="1:2" x14ac:dyDescent="0.25">
      <c r="A13" s="34" t="s">
        <v>176</v>
      </c>
      <c r="B13" s="34" t="s">
        <v>186</v>
      </c>
    </row>
    <row r="14" spans="1:2" x14ac:dyDescent="0.25">
      <c r="A14" s="34" t="s">
        <v>176</v>
      </c>
      <c r="B14" s="34" t="s">
        <v>187</v>
      </c>
    </row>
    <row r="15" spans="1:2" x14ac:dyDescent="0.25">
      <c r="A15" s="34" t="s">
        <v>173</v>
      </c>
      <c r="B15" s="34" t="s">
        <v>188</v>
      </c>
    </row>
    <row r="16" spans="1:2" x14ac:dyDescent="0.25">
      <c r="A16" s="34" t="s">
        <v>173</v>
      </c>
      <c r="B16" s="34" t="s">
        <v>189</v>
      </c>
    </row>
    <row r="17" spans="1:2" x14ac:dyDescent="0.25">
      <c r="A17" s="34" t="s">
        <v>176</v>
      </c>
      <c r="B17" s="34" t="s">
        <v>190</v>
      </c>
    </row>
    <row r="18" spans="1:2" x14ac:dyDescent="0.25">
      <c r="A18" s="34" t="s">
        <v>173</v>
      </c>
      <c r="B18" s="34" t="s">
        <v>191</v>
      </c>
    </row>
    <row r="19" spans="1:2" x14ac:dyDescent="0.3">
      <c r="A19" s="34" t="s">
        <v>173</v>
      </c>
      <c r="B19" s="34" t="s">
        <v>192</v>
      </c>
    </row>
    <row r="20" spans="1:2" x14ac:dyDescent="0.3">
      <c r="A20" s="34" t="s">
        <v>176</v>
      </c>
      <c r="B20" s="34" t="s">
        <v>193</v>
      </c>
    </row>
    <row r="21" spans="1:2" x14ac:dyDescent="0.3">
      <c r="A21" s="34" t="s">
        <v>176</v>
      </c>
      <c r="B21" s="34" t="s">
        <v>194</v>
      </c>
    </row>
    <row r="22" spans="1:2" x14ac:dyDescent="0.3">
      <c r="A22" s="34" t="s">
        <v>176</v>
      </c>
      <c r="B22" s="34" t="s">
        <v>195</v>
      </c>
    </row>
    <row r="23" spans="1:2" x14ac:dyDescent="0.3">
      <c r="A23" s="34" t="s">
        <v>176</v>
      </c>
      <c r="B23" s="34" t="s">
        <v>196</v>
      </c>
    </row>
    <row r="24" spans="1:2" x14ac:dyDescent="0.3">
      <c r="A24" s="34" t="s">
        <v>173</v>
      </c>
      <c r="B24" s="34" t="s">
        <v>197</v>
      </c>
    </row>
    <row r="25" spans="1:2" x14ac:dyDescent="0.3">
      <c r="A25" s="34" t="s">
        <v>176</v>
      </c>
      <c r="B25" s="34" t="s">
        <v>198</v>
      </c>
    </row>
    <row r="26" spans="1:2" x14ac:dyDescent="0.3">
      <c r="A26" s="34" t="s">
        <v>173</v>
      </c>
      <c r="B26" s="34" t="s">
        <v>199</v>
      </c>
    </row>
    <row r="27" spans="1:2" x14ac:dyDescent="0.3">
      <c r="A27" s="34" t="s">
        <v>176</v>
      </c>
      <c r="B27" s="34" t="s">
        <v>200</v>
      </c>
    </row>
    <row r="28" spans="1:2" x14ac:dyDescent="0.3">
      <c r="A28" s="34" t="s">
        <v>176</v>
      </c>
      <c r="B28" s="34" t="s">
        <v>201</v>
      </c>
    </row>
    <row r="29" spans="1:2" x14ac:dyDescent="0.3">
      <c r="A29" s="34" t="s">
        <v>176</v>
      </c>
      <c r="B29" s="34" t="s">
        <v>202</v>
      </c>
    </row>
    <row r="30" spans="1:2" x14ac:dyDescent="0.3">
      <c r="A30" s="34" t="s">
        <v>173</v>
      </c>
      <c r="B30" s="34" t="s">
        <v>203</v>
      </c>
    </row>
    <row r="31" spans="1:2" x14ac:dyDescent="0.3">
      <c r="A31" s="34" t="s">
        <v>173</v>
      </c>
      <c r="B31" s="34" t="s">
        <v>204</v>
      </c>
    </row>
    <row r="32" spans="1:2" x14ac:dyDescent="0.3">
      <c r="A32" s="34" t="s">
        <v>176</v>
      </c>
      <c r="B32" s="34" t="s">
        <v>205</v>
      </c>
    </row>
    <row r="33" spans="1:2" x14ac:dyDescent="0.3">
      <c r="A33" s="34" t="s">
        <v>173</v>
      </c>
      <c r="B33" s="34"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M3"/>
  <sheetViews>
    <sheetView showGridLines="0" workbookViewId="0">
      <selection activeCell="B3" sqref="B3"/>
    </sheetView>
  </sheetViews>
  <sheetFormatPr defaultRowHeight="14.4" x14ac:dyDescent="0.3"/>
  <cols>
    <col min="1" max="13" width="13.6640625" style="1" customWidth="1"/>
  </cols>
  <sheetData>
    <row r="1" spans="1:13" ht="15" x14ac:dyDescent="0.25">
      <c r="A1" s="5" t="s">
        <v>136</v>
      </c>
      <c r="B1" s="6" t="s">
        <v>139</v>
      </c>
      <c r="C1" s="3" t="s">
        <v>143</v>
      </c>
      <c r="D1" s="3" t="s">
        <v>139</v>
      </c>
      <c r="E1" s="3" t="s">
        <v>148</v>
      </c>
      <c r="F1" s="3" t="s">
        <v>139</v>
      </c>
      <c r="G1" s="3" t="s">
        <v>148</v>
      </c>
      <c r="H1" s="3" t="s">
        <v>155</v>
      </c>
      <c r="I1" s="3" t="s">
        <v>158</v>
      </c>
      <c r="J1" s="3" t="s">
        <v>158</v>
      </c>
      <c r="K1" s="3" t="s">
        <v>163</v>
      </c>
      <c r="L1" s="3" t="s">
        <v>166</v>
      </c>
      <c r="M1" s="3" t="s">
        <v>143</v>
      </c>
    </row>
    <row r="2" spans="1:13" ht="15" x14ac:dyDescent="0.25">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ht="15" x14ac:dyDescent="0.25">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Question 1</vt:lpstr>
      <vt:lpstr>Question 2</vt:lpstr>
      <vt:lpstr>Question 3</vt:lpstr>
      <vt:lpstr>ANALYSIS</vt:lpstr>
      <vt:lpstr>REPORT</vt:lpstr>
      <vt:lpstr>SPORTSMEN</vt:lpstr>
      <vt:lpstr>SPORT</vt:lpstr>
      <vt:lpstr>LOCATION</vt:lpstr>
      <vt:lpstr>ANALYSIS!Extract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hp</cp:lastModifiedBy>
  <dcterms:created xsi:type="dcterms:W3CDTF">2019-05-28T07:07:38Z</dcterms:created>
  <dcterms:modified xsi:type="dcterms:W3CDTF">2026-07-20T07:37:40Z</dcterms:modified>
</cp:coreProperties>
</file>